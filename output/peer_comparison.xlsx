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>
    <definedName name="_xlnm._FilterDatabase" localSheetId="0" hidden="1">'Automobiles'!$A$1:$AK$8</definedName>
    <definedName name="_xlnm._FilterDatabase" localSheetId="1" hidden="1">'Consumer Finance'!$A$1:$AK$4</definedName>
    <definedName name="_xlnm._FilterDatabase" localSheetId="2" hidden="1">'FMCG'!$A$1:$AK$8</definedName>
    <definedName name="_xlnm._FilterDatabase" localSheetId="3" hidden="1">'IT Services'!$A$1:$AK$6</definedName>
    <definedName name="_xlnm._FilterDatabase" localSheetId="4" hidden="1">'Life Insurance'!$A$1:$AK$5</definedName>
    <definedName name="_xlnm._FilterDatabase" localSheetId="5" hidden="1">'Oil &amp; Gas'!$A$1:$AK$6</definedName>
    <definedName name="_xlnm._FilterDatabase" localSheetId="6" hidden="1">'Pharmaceuticals'!$A$1:$AK$6</definedName>
    <definedName name="_xlnm._FilterDatabase" localSheetId="7" hidden="1">'Power &amp; Utilities'!$A$1:$AK$8</definedName>
    <definedName name="_xlnm._FilterDatabase" localSheetId="8" hidden="1">'Private Banks'!$A$1:$AK$6</definedName>
    <definedName name="_xlnm._FilterDatabase" localSheetId="9" hidden="1">'Public Sector Banks'!$A$1:$AK$5</definedName>
    <definedName name="_xlnm._FilterDatabase" localSheetId="10" hidden="1">'Steel'!$A$1:$AK$5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12" customWidth="1" min="3" max="3"/>
    <col width="14" customWidth="1" min="4" max="4"/>
    <col width="6" customWidth="1" min="5" max="5"/>
    <col width="10" customWidth="1" min="6" max="6"/>
    <col width="23" customWidth="1" min="7" max="7"/>
    <col width="24" customWidth="1" min="8" max="8"/>
    <col width="22" customWidth="1" min="9" max="9"/>
    <col width="20" customWidth="1" min="10" max="10"/>
    <col width="19" customWidth="1" min="11" max="11"/>
    <col width="20" customWidth="1" min="12" max="12"/>
    <col width="19" customWidth="1" min="13" max="13"/>
    <col width="20" customWidth="1" min="14" max="14"/>
    <col width="20" customWidth="1" min="15" max="15"/>
    <col width="22" customWidth="1" min="16" max="16"/>
    <col width="24" customWidth="1" min="17" max="17"/>
    <col width="15" customWidth="1" min="18" max="18"/>
    <col width="24" customWidth="1" min="19" max="19"/>
    <col width="19" customWidth="1" min="20" max="20"/>
    <col width="23" customWidth="1" min="21" max="21"/>
    <col width="19" customWidth="1" min="22" max="22"/>
    <col width="19" customWidth="1" min="23" max="23"/>
    <col width="19" customWidth="1" min="24" max="24"/>
    <col width="19" customWidth="1" min="25" max="25"/>
    <col width="24" customWidth="1" min="26" max="26"/>
    <col width="10" customWidth="1" min="27" max="27"/>
    <col width="24" customWidth="1" min="28" max="28"/>
    <col width="24" customWidth="1" min="29" max="29"/>
    <col width="23" customWidth="1" min="30" max="30"/>
    <col width="24" customWidth="1" min="31" max="31"/>
    <col width="24" customWidth="1" min="32" max="32"/>
    <col width="24" customWidth="1" min="33" max="33"/>
    <col width="23" customWidth="1" min="34" max="34"/>
    <col width="24" customWidth="1" min="35" max="35"/>
    <col width="24" customWidth="1" min="36" max="36"/>
    <col width="24" customWidth="1" min="37" max="37"/>
  </cols>
  <sheetData>
    <row r="1">
      <c r="A1" s="1" t="inlineStr">
        <is>
          <t>id_x</t>
        </is>
      </c>
      <c r="B1" s="1" t="inlineStr">
        <is>
          <t>peer_group_name</t>
        </is>
      </c>
      <c r="C1" s="1" t="inlineStr">
        <is>
          <t>company_id</t>
        </is>
      </c>
      <c r="D1" s="1" t="inlineStr">
        <is>
          <t>is_benchmark</t>
        </is>
      </c>
      <c r="E1" s="1" t="inlineStr">
        <is>
          <t>id_y</t>
        </is>
      </c>
      <c r="F1" s="1" t="inlineStr">
        <is>
          <t>year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return_on_equity_pct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total_debt_cr</t>
        </is>
      </c>
      <c r="S1" s="1" t="inlineStr">
        <is>
          <t>cash_from_operations_cr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pat_cagr_5yr</t>
        </is>
      </c>
      <c r="W1" s="1" t="inlineStr">
        <is>
          <t>pat_cagr_5yr_flag</t>
        </is>
      </c>
      <c r="X1" s="1" t="inlineStr">
        <is>
          <t>eps_cagr_5yr</t>
        </is>
      </c>
      <c r="Y1" s="1" t="inlineStr">
        <is>
          <t>eps_cagr_5yr_flag</t>
        </is>
      </c>
      <c r="Z1" s="1" t="inlineStr">
        <is>
          <t>composite_quality_score</t>
        </is>
      </c>
      <c r="AA1" s="1" t="inlineStr">
        <is>
          <t>year_num</t>
        </is>
      </c>
      <c r="AB1" s="1" t="inlineStr">
        <is>
          <t>asset_turnover_pct_rank</t>
        </is>
      </c>
      <c r="AC1" s="1" t="inlineStr">
        <is>
          <t>debt_to_equity_pct_rank</t>
        </is>
      </c>
      <c r="AD1" s="1" t="inlineStr">
        <is>
          <t>eps_cagr_5yr_pct_rank</t>
        </is>
      </c>
      <c r="AE1" s="1" t="inlineStr">
        <is>
          <t>free_cash_flow_cr_pct_rank</t>
        </is>
      </c>
      <c r="AF1" s="1" t="inlineStr">
        <is>
          <t>interest_coverage_pct_rank</t>
        </is>
      </c>
      <c r="AG1" s="1" t="inlineStr">
        <is>
          <t>net_profit_margin_pct_pct_rank</t>
        </is>
      </c>
      <c r="AH1" s="1" t="inlineStr">
        <is>
          <t>pat_cagr_5yr_pct_rank</t>
        </is>
      </c>
      <c r="AI1" s="1" t="inlineStr">
        <is>
          <t>return_on_capital_employed_pct_pct_rank</t>
        </is>
      </c>
      <c r="AJ1" s="1" t="inlineStr">
        <is>
          <t>return_on_equity_pct_pct_rank</t>
        </is>
      </c>
      <c r="AK1" s="1" t="inlineStr">
        <is>
          <t>revenue_cagr_5yr_pct_rank</t>
        </is>
      </c>
    </row>
    <row r="2">
      <c r="A2" s="2" t="n">
        <v>20</v>
      </c>
      <c r="B2" s="2" t="inlineStr">
        <is>
          <t>Automobiles</t>
        </is>
      </c>
      <c r="C2" s="2" t="inlineStr">
        <is>
          <t>MARUTI</t>
        </is>
      </c>
      <c r="D2" s="2" t="n">
        <v>1</v>
      </c>
      <c r="E2" s="2" t="n">
        <v>787</v>
      </c>
      <c r="F2" s="2" t="inlineStr">
        <is>
          <t>Mar 2024</t>
        </is>
      </c>
      <c r="G2" s="2" t="n">
        <v>9.50809964894472</v>
      </c>
      <c r="H2" s="2" t="n">
        <v>13.13003143989059</v>
      </c>
      <c r="I2" s="2" t="n">
        <v>15.75038535195478</v>
      </c>
      <c r="J2" s="2" t="n">
        <v>0.0013896025036199</v>
      </c>
      <c r="K2" s="2" t="n">
        <v>117.9072164948454</v>
      </c>
      <c r="L2" s="2" t="n">
        <v>1.230295566502463</v>
      </c>
      <c r="M2" s="2" t="n">
        <v>4936</v>
      </c>
      <c r="N2" s="2" t="n">
        <v>8.363997800617518</v>
      </c>
      <c r="O2" s="2" t="n">
        <v>429</v>
      </c>
      <c r="P2" s="2" t="n">
        <v>85636</v>
      </c>
      <c r="Q2" s="2" t="n">
        <v>29</v>
      </c>
      <c r="R2" s="2" t="n">
        <v>119</v>
      </c>
      <c r="S2" s="2" t="n">
        <v>1.245625741399763</v>
      </c>
      <c r="T2" s="2" t="n">
        <v>13.927307119658</v>
      </c>
      <c r="U2" s="2" t="inlineStr">
        <is>
          <t>NORMAL</t>
        </is>
      </c>
      <c r="V2" s="2" t="n">
        <v>19.81652513498582</v>
      </c>
      <c r="W2" s="2" t="inlineStr">
        <is>
          <t>NORMAL</t>
        </is>
      </c>
      <c r="X2" s="2" t="n">
        <v>18.8599113171132</v>
      </c>
      <c r="Y2" s="2" t="inlineStr">
        <is>
          <t>NORMAL</t>
        </is>
      </c>
      <c r="Z2" s="2" t="n">
        <v>0</v>
      </c>
      <c r="AA2" s="2" t="n">
        <v>2024</v>
      </c>
      <c r="AB2" s="3" t="n">
        <v>0.8571</v>
      </c>
      <c r="AC2" s="3" t="n">
        <v>1</v>
      </c>
      <c r="AD2" s="4" t="n">
        <v>0.6667</v>
      </c>
      <c r="AE2" s="4" t="n">
        <v>0.7143</v>
      </c>
      <c r="AF2" s="3" t="n">
        <v>0.8571</v>
      </c>
      <c r="AG2" s="4" t="n">
        <v>0.5714</v>
      </c>
      <c r="AH2" s="3" t="n">
        <v>0.8</v>
      </c>
      <c r="AI2" s="4" t="n">
        <v>0.4286</v>
      </c>
      <c r="AJ2" s="5" t="n">
        <v>0.1429</v>
      </c>
      <c r="AK2" s="4" t="n">
        <v>0.7143</v>
      </c>
    </row>
    <row r="3">
      <c r="A3" t="n">
        <v>21</v>
      </c>
      <c r="B3" t="inlineStr">
        <is>
          <t>Automobiles</t>
        </is>
      </c>
      <c r="C3" t="inlineStr">
        <is>
          <t>TATAMOTORS</t>
        </is>
      </c>
      <c r="D3" t="n">
        <v>0</v>
      </c>
      <c r="E3" t="n">
        <v>1046</v>
      </c>
      <c r="F3" t="inlineStr">
        <is>
          <t>Mar 2024</t>
        </is>
      </c>
      <c r="G3" t="n">
        <v>7.263066074788551</v>
      </c>
      <c r="H3" t="n">
        <v>13.59538554282896</v>
      </c>
      <c r="I3" t="n">
        <v>37.45613415294755</v>
      </c>
      <c r="J3" t="n">
        <v>1.263124425916767</v>
      </c>
      <c r="K3" t="n">
        <v>6.530242339274985</v>
      </c>
      <c r="L3" t="n">
        <v>1.185123443593192</v>
      </c>
      <c r="M3" t="n">
        <v>45133</v>
      </c>
      <c r="N3" t="n">
        <v>5.2022250232915</v>
      </c>
      <c r="O3" t="n">
        <v>94</v>
      </c>
      <c r="P3" t="n">
        <v>84918</v>
      </c>
      <c r="Q3" t="n">
        <v>7</v>
      </c>
      <c r="R3" t="n">
        <v>107262</v>
      </c>
      <c r="S3" t="n">
        <v>2.135221806520577</v>
      </c>
      <c r="T3" t="n">
        <v>11.0073787983753</v>
      </c>
      <c r="U3" t="inlineStr">
        <is>
          <t>NORMAL</t>
        </is>
      </c>
      <c r="W3" t="inlineStr">
        <is>
          <t>TURNAROUND</t>
        </is>
      </c>
      <c r="Y3" t="inlineStr">
        <is>
          <t>TURNAROUND</t>
        </is>
      </c>
      <c r="Z3" t="n">
        <v>0</v>
      </c>
      <c r="AA3" t="n">
        <v>2024</v>
      </c>
      <c r="AB3" s="4" t="n">
        <v>0.7143</v>
      </c>
      <c r="AC3" s="4" t="n">
        <v>0.4286</v>
      </c>
      <c r="AE3" s="3" t="n">
        <v>1</v>
      </c>
      <c r="AF3" s="4" t="n">
        <v>0.4286</v>
      </c>
      <c r="AG3" s="4" t="n">
        <v>0.2857</v>
      </c>
      <c r="AI3" s="4" t="n">
        <v>0.5714</v>
      </c>
      <c r="AJ3" s="3" t="n">
        <v>1</v>
      </c>
      <c r="AK3" s="4" t="n">
        <v>0.4286</v>
      </c>
    </row>
    <row r="4">
      <c r="A4" t="n">
        <v>22</v>
      </c>
      <c r="B4" t="inlineStr">
        <is>
          <t>Automobiles</t>
        </is>
      </c>
      <c r="C4" t="inlineStr">
        <is>
          <t>M&amp;M</t>
        </is>
      </c>
      <c r="D4" t="n">
        <v>0</v>
      </c>
      <c r="E4" t="n">
        <v>774</v>
      </c>
      <c r="F4" t="inlineStr">
        <is>
          <t>Mar 2024</t>
        </is>
      </c>
      <c r="G4" t="n">
        <v>8.822387437265419</v>
      </c>
      <c r="H4" t="n">
        <v>17.89787025985418</v>
      </c>
      <c r="I4" t="n">
        <v>18.53754343556428</v>
      </c>
      <c r="J4" t="n">
        <v>1.641441305333132</v>
      </c>
      <c r="K4" t="n">
        <v>3.76469017094017</v>
      </c>
      <c r="L4" t="n">
        <v>0.5925222177725139</v>
      </c>
      <c r="M4" t="n">
        <v>-11245</v>
      </c>
      <c r="N4" t="n">
        <v>4.037302808495952</v>
      </c>
      <c r="O4" t="n">
        <v>91</v>
      </c>
      <c r="P4" t="n">
        <v>66190</v>
      </c>
      <c r="Q4" t="n">
        <v>21</v>
      </c>
      <c r="R4" t="n">
        <v>108647</v>
      </c>
      <c r="S4" t="n">
        <v>-0.4588427057864711</v>
      </c>
      <c r="T4" t="n">
        <v>14.1177919089372</v>
      </c>
      <c r="U4" t="inlineStr">
        <is>
          <t>NORMAL</t>
        </is>
      </c>
      <c r="W4" t="inlineStr">
        <is>
          <t>TURNAROUND</t>
        </is>
      </c>
      <c r="X4" t="n">
        <v>148.6249570212102</v>
      </c>
      <c r="Y4" t="inlineStr">
        <is>
          <t>NORMAL</t>
        </is>
      </c>
      <c r="Z4" t="n">
        <v>0</v>
      </c>
      <c r="AA4" t="n">
        <v>2024</v>
      </c>
      <c r="AB4" s="5" t="n">
        <v>0.1429</v>
      </c>
      <c r="AC4" s="4" t="n">
        <v>0.2857</v>
      </c>
      <c r="AD4" s="3" t="n">
        <v>1</v>
      </c>
      <c r="AE4" s="5" t="n">
        <v>0.1429</v>
      </c>
      <c r="AF4" s="4" t="n">
        <v>0.2857</v>
      </c>
      <c r="AG4" s="4" t="n">
        <v>0.4286</v>
      </c>
      <c r="AI4" s="5" t="n">
        <v>0.1429</v>
      </c>
      <c r="AJ4" s="4" t="n">
        <v>0.2857</v>
      </c>
      <c r="AK4" s="3" t="n">
        <v>0.8571</v>
      </c>
    </row>
    <row r="5">
      <c r="A5" t="n">
        <v>23</v>
      </c>
      <c r="B5" t="inlineStr">
        <is>
          <t>Automobiles</t>
        </is>
      </c>
      <c r="C5" t="inlineStr">
        <is>
          <t>BAJAJ-AUTO</t>
        </is>
      </c>
      <c r="D5" t="n">
        <v>0</v>
      </c>
      <c r="E5" t="n">
        <v>132</v>
      </c>
      <c r="F5" t="inlineStr">
        <is>
          <t>Mar 2024</t>
        </is>
      </c>
      <c r="G5" t="n">
        <v>17.17851571205706</v>
      </c>
      <c r="H5" t="n">
        <v>19.53420993982616</v>
      </c>
      <c r="I5" t="n">
        <v>26.61418410330778</v>
      </c>
      <c r="J5" t="n">
        <v>0.0660175402251225</v>
      </c>
      <c r="K5" t="n">
        <v>174.4166666666667</v>
      </c>
      <c r="L5" t="n">
        <v>1.140453436356242</v>
      </c>
      <c r="M5" t="n">
        <v>6486</v>
      </c>
      <c r="N5" t="n">
        <v>0.1604635613995988</v>
      </c>
      <c r="O5" t="n">
        <v>276</v>
      </c>
      <c r="P5" t="n">
        <v>28962</v>
      </c>
      <c r="Q5" t="n">
        <v>29</v>
      </c>
      <c r="R5" t="n">
        <v>1912</v>
      </c>
      <c r="S5" t="n">
        <v>0.8508043591074209</v>
      </c>
      <c r="T5" t="n">
        <v>10.32459887128388</v>
      </c>
      <c r="U5" t="inlineStr">
        <is>
          <t>NORMAL</t>
        </is>
      </c>
      <c r="V5" t="n">
        <v>7.177692065422758</v>
      </c>
      <c r="W5" t="inlineStr">
        <is>
          <t>NORMAL</t>
        </is>
      </c>
      <c r="X5" t="n">
        <v>7.878934579584063</v>
      </c>
      <c r="Y5" t="inlineStr">
        <is>
          <t>NORMAL</t>
        </is>
      </c>
      <c r="Z5" t="n">
        <v>0</v>
      </c>
      <c r="AA5" t="n">
        <v>2024</v>
      </c>
      <c r="AB5" s="4" t="n">
        <v>0.5714</v>
      </c>
      <c r="AC5" s="4" t="n">
        <v>0.5714</v>
      </c>
      <c r="AD5" s="4" t="n">
        <v>0.3333</v>
      </c>
      <c r="AE5" s="3" t="n">
        <v>0.8571</v>
      </c>
      <c r="AF5" s="3" t="n">
        <v>1</v>
      </c>
      <c r="AG5" s="3" t="n">
        <v>0.8571</v>
      </c>
      <c r="AH5" s="4" t="n">
        <v>0.4</v>
      </c>
      <c r="AI5" s="3" t="n">
        <v>0.8571</v>
      </c>
      <c r="AJ5" s="3" t="n">
        <v>0.8571</v>
      </c>
      <c r="AK5" s="4" t="n">
        <v>0.2857</v>
      </c>
    </row>
    <row r="6">
      <c r="A6" t="n">
        <v>24</v>
      </c>
      <c r="B6" t="inlineStr">
        <is>
          <t>Automobiles</t>
        </is>
      </c>
      <c r="C6" t="inlineStr">
        <is>
          <t>EICHERMOT</t>
        </is>
      </c>
      <c r="D6" t="n">
        <v>0</v>
      </c>
      <c r="E6" t="n">
        <v>403</v>
      </c>
      <c r="F6" t="inlineStr">
        <is>
          <t>Mar 2024</t>
        </is>
      </c>
      <c r="G6" t="n">
        <v>24.19569424286405</v>
      </c>
      <c r="H6" t="n">
        <v>26.17924528301887</v>
      </c>
      <c r="I6" t="n">
        <v>22.17234691050152</v>
      </c>
      <c r="J6" t="n">
        <v>0.0232197284566361</v>
      </c>
      <c r="K6" t="n">
        <v>114.7058823529412</v>
      </c>
      <c r="L6" t="n">
        <v>0.7153796236210254</v>
      </c>
      <c r="M6" t="n">
        <v>890</v>
      </c>
      <c r="N6" t="n">
        <v>17.13836477987421</v>
      </c>
      <c r="O6" t="n">
        <v>146</v>
      </c>
      <c r="P6" t="n">
        <v>18045</v>
      </c>
      <c r="Q6" t="n">
        <v>35</v>
      </c>
      <c r="R6" t="n">
        <v>419</v>
      </c>
      <c r="S6" t="n">
        <v>0.9307673081729568</v>
      </c>
      <c r="T6" t="n">
        <v>13.30036611153977</v>
      </c>
      <c r="U6" t="inlineStr">
        <is>
          <t>NORMAL</t>
        </is>
      </c>
      <c r="V6" t="n">
        <v>18.49422168054984</v>
      </c>
      <c r="W6" t="inlineStr">
        <is>
          <t>NORMAL</t>
        </is>
      </c>
      <c r="X6" t="n">
        <v>18.415883372695</v>
      </c>
      <c r="Y6" t="inlineStr">
        <is>
          <t>NORMAL</t>
        </is>
      </c>
      <c r="Z6" t="n">
        <v>0</v>
      </c>
      <c r="AA6" t="n">
        <v>2024</v>
      </c>
      <c r="AB6" s="4" t="n">
        <v>0.2857</v>
      </c>
      <c r="AC6" s="3" t="n">
        <v>0.8571</v>
      </c>
      <c r="AD6" s="4" t="n">
        <v>0.5</v>
      </c>
      <c r="AE6" s="4" t="n">
        <v>0.4286</v>
      </c>
      <c r="AF6" s="4" t="n">
        <v>0.7143</v>
      </c>
      <c r="AG6" s="3" t="n">
        <v>1</v>
      </c>
      <c r="AH6" s="4" t="n">
        <v>0.6</v>
      </c>
      <c r="AI6" s="4" t="n">
        <v>0.7143</v>
      </c>
      <c r="AJ6" s="4" t="n">
        <v>0.5714</v>
      </c>
      <c r="AK6" s="4" t="n">
        <v>0.5714</v>
      </c>
    </row>
    <row r="7">
      <c r="A7" t="n">
        <v>25</v>
      </c>
      <c r="B7" t="inlineStr">
        <is>
          <t>Automobiles</t>
        </is>
      </c>
      <c r="C7" t="inlineStr">
        <is>
          <t>HEROMOTOCO</t>
        </is>
      </c>
      <c r="D7" t="n">
        <v>0</v>
      </c>
      <c r="E7" t="n">
        <v>519</v>
      </c>
      <c r="F7" t="inlineStr">
        <is>
          <t>Mar 2024</t>
        </is>
      </c>
      <c r="G7" t="n">
        <v>9.902352536452408</v>
      </c>
      <c r="H7" t="n">
        <v>86.14676228532112</v>
      </c>
      <c r="I7" t="n">
        <v>21.14243742584327</v>
      </c>
      <c r="J7" t="n">
        <v>0.0342392225549466</v>
      </c>
      <c r="K7" t="n">
        <v>47.26850507982584</v>
      </c>
      <c r="L7" t="n">
        <v>1.444920276832486</v>
      </c>
      <c r="M7" t="n">
        <v>3095</v>
      </c>
      <c r="N7" t="n">
        <v>4.837386541056921</v>
      </c>
      <c r="O7" t="n">
        <v>187</v>
      </c>
      <c r="P7" t="n">
        <v>17699</v>
      </c>
      <c r="Q7" t="n">
        <v>75</v>
      </c>
      <c r="R7" t="n">
        <v>606</v>
      </c>
      <c r="S7" t="n">
        <v>1.31560662747194</v>
      </c>
      <c r="T7" t="n">
        <v>6.50929030402021</v>
      </c>
      <c r="U7" t="inlineStr">
        <is>
          <t>NORMAL</t>
        </is>
      </c>
      <c r="V7" t="n">
        <v>2.466192600628236</v>
      </c>
      <c r="W7" t="inlineStr">
        <is>
          <t>NORMAL</t>
        </is>
      </c>
      <c r="X7" t="n">
        <v>2.60766188865571</v>
      </c>
      <c r="Y7" t="inlineStr">
        <is>
          <t>NORMAL</t>
        </is>
      </c>
      <c r="Z7" t="n">
        <v>0</v>
      </c>
      <c r="AA7" t="n">
        <v>2024</v>
      </c>
      <c r="AB7" s="3" t="n">
        <v>1</v>
      </c>
      <c r="AC7" s="4" t="n">
        <v>0.7143</v>
      </c>
      <c r="AD7" s="5" t="n">
        <v>0.1667</v>
      </c>
      <c r="AE7" s="4" t="n">
        <v>0.5714</v>
      </c>
      <c r="AF7" s="4" t="n">
        <v>0.5714</v>
      </c>
      <c r="AG7" s="4" t="n">
        <v>0.7143</v>
      </c>
      <c r="AH7" s="5" t="n">
        <v>0.2</v>
      </c>
      <c r="AI7" s="3" t="n">
        <v>1</v>
      </c>
      <c r="AJ7" s="4" t="n">
        <v>0.4286</v>
      </c>
      <c r="AK7" s="5" t="n">
        <v>0.1429</v>
      </c>
    </row>
    <row r="8">
      <c r="A8" t="n">
        <v>26</v>
      </c>
      <c r="B8" t="inlineStr">
        <is>
          <t>Automobiles</t>
        </is>
      </c>
      <c r="C8" t="inlineStr">
        <is>
          <t>TVSMOTOR</t>
        </is>
      </c>
      <c r="D8" t="n">
        <v>0</v>
      </c>
      <c r="E8" t="n">
        <v>1150</v>
      </c>
      <c r="F8" t="inlineStr">
        <is>
          <t>Mar 2024</t>
        </is>
      </c>
      <c r="G8" t="n">
        <v>4.544641716694342</v>
      </c>
      <c r="H8" t="n">
        <v>14.05032571209605</v>
      </c>
      <c r="I8" t="n">
        <v>26.22346698113208</v>
      </c>
      <c r="J8" t="n">
        <v>3.833431603773585</v>
      </c>
      <c r="K8" t="n">
        <v>2.907676348547718</v>
      </c>
      <c r="L8" t="n">
        <v>0.9314915286502951</v>
      </c>
      <c r="M8" t="n">
        <v>-2254</v>
      </c>
      <c r="N8" t="n">
        <v>2.557159279601482</v>
      </c>
      <c r="O8" t="n">
        <v>36</v>
      </c>
      <c r="P8" t="n">
        <v>6784</v>
      </c>
      <c r="Q8" t="n">
        <v>23</v>
      </c>
      <c r="R8" t="n">
        <v>26006</v>
      </c>
      <c r="S8" t="n">
        <v>-0.7043282743114109</v>
      </c>
      <c r="T8" t="n">
        <v>17.87058673489215</v>
      </c>
      <c r="U8" t="inlineStr">
        <is>
          <t>NORMAL</t>
        </is>
      </c>
      <c r="V8" t="n">
        <v>26.47785143580808</v>
      </c>
      <c r="W8" t="inlineStr">
        <is>
          <t>NORMAL</t>
        </is>
      </c>
      <c r="X8" t="n">
        <v>26.4332167777482</v>
      </c>
      <c r="Y8" t="inlineStr">
        <is>
          <t>NORMAL</t>
        </is>
      </c>
      <c r="Z8" t="n">
        <v>0</v>
      </c>
      <c r="AA8" t="n">
        <v>2024</v>
      </c>
      <c r="AB8" s="4" t="n">
        <v>0.4286</v>
      </c>
      <c r="AC8" s="5" t="n">
        <v>0.1429</v>
      </c>
      <c r="AD8" s="3" t="n">
        <v>0.8333</v>
      </c>
      <c r="AE8" s="4" t="n">
        <v>0.2857</v>
      </c>
      <c r="AF8" s="5" t="n">
        <v>0.1429</v>
      </c>
      <c r="AG8" s="5" t="n">
        <v>0.1429</v>
      </c>
      <c r="AH8" s="3" t="n">
        <v>1</v>
      </c>
      <c r="AI8" s="4" t="n">
        <v>0.2857</v>
      </c>
      <c r="AJ8" s="4" t="n">
        <v>0.7143</v>
      </c>
      <c r="AK8" s="3" t="n">
        <v>1</v>
      </c>
    </row>
    <row r="9">
      <c r="A9" s="6" t="inlineStr">
        <is>
          <t>Median</t>
        </is>
      </c>
      <c r="AB9">
        <f>MEDIAN(AB2:AB8)</f>
        <v/>
      </c>
      <c r="AC9">
        <f>MEDIAN(AC2:AC8)</f>
        <v/>
      </c>
      <c r="AD9">
        <f>MEDIAN(AD2:AD8)</f>
        <v/>
      </c>
      <c r="AE9">
        <f>MEDIAN(AE2:AE8)</f>
        <v/>
      </c>
      <c r="AF9">
        <f>MEDIAN(AF2:AF8)</f>
        <v/>
      </c>
      <c r="AG9">
        <f>MEDIAN(AG2:AG8)</f>
        <v/>
      </c>
      <c r="AH9">
        <f>MEDIAN(AH2:AH8)</f>
        <v/>
      </c>
      <c r="AI9">
        <f>MEDIAN(AI2:AI8)</f>
        <v/>
      </c>
      <c r="AJ9">
        <f>MEDIAN(AJ2:AJ8)</f>
        <v/>
      </c>
      <c r="AK9">
        <f>MEDIAN(AK2:AK8)</f>
        <v/>
      </c>
    </row>
  </sheetData>
  <autoFilter ref="A1:A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4" customWidth="1" min="4" max="4"/>
    <col width="6" customWidth="1" min="5" max="5"/>
    <col width="10" customWidth="1" min="6" max="6"/>
    <col width="23" customWidth="1" min="7" max="7"/>
    <col width="24" customWidth="1" min="8" max="8"/>
    <col width="22" customWidth="1" min="9" max="9"/>
    <col width="19" customWidth="1" min="10" max="10"/>
    <col width="20" customWidth="1" min="11" max="11"/>
    <col width="20" customWidth="1" min="12" max="12"/>
    <col width="19" customWidth="1" min="13" max="13"/>
    <col width="20" customWidth="1" min="14" max="14"/>
    <col width="20" customWidth="1" min="15" max="15"/>
    <col width="22" customWidth="1" min="16" max="16"/>
    <col width="24" customWidth="1" min="17" max="17"/>
    <col width="15" customWidth="1" min="18" max="18"/>
    <col width="24" customWidth="1" min="19" max="19"/>
    <col width="19" customWidth="1" min="20" max="20"/>
    <col width="23" customWidth="1" min="21" max="21"/>
    <col width="19" customWidth="1" min="22" max="22"/>
    <col width="19" customWidth="1" min="23" max="23"/>
    <col width="19" customWidth="1" min="24" max="24"/>
    <col width="19" customWidth="1" min="25" max="25"/>
    <col width="24" customWidth="1" min="26" max="26"/>
    <col width="10" customWidth="1" min="27" max="27"/>
    <col width="24" customWidth="1" min="28" max="28"/>
    <col width="24" customWidth="1" min="29" max="29"/>
    <col width="23" customWidth="1" min="30" max="30"/>
    <col width="24" customWidth="1" min="31" max="31"/>
    <col width="24" customWidth="1" min="32" max="32"/>
    <col width="24" customWidth="1" min="33" max="33"/>
    <col width="23" customWidth="1" min="34" max="34"/>
    <col width="24" customWidth="1" min="35" max="35"/>
    <col width="24" customWidth="1" min="36" max="36"/>
    <col width="24" customWidth="1" min="37" max="37"/>
  </cols>
  <sheetData>
    <row r="1">
      <c r="A1" s="1" t="inlineStr">
        <is>
          <t>id_x</t>
        </is>
      </c>
      <c r="B1" s="1" t="inlineStr">
        <is>
          <t>peer_group_name</t>
        </is>
      </c>
      <c r="C1" s="1" t="inlineStr">
        <is>
          <t>company_id</t>
        </is>
      </c>
      <c r="D1" s="1" t="inlineStr">
        <is>
          <t>is_benchmark</t>
        </is>
      </c>
      <c r="E1" s="1" t="inlineStr">
        <is>
          <t>id_y</t>
        </is>
      </c>
      <c r="F1" s="1" t="inlineStr">
        <is>
          <t>year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return_on_equity_pct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total_debt_cr</t>
        </is>
      </c>
      <c r="S1" s="1" t="inlineStr">
        <is>
          <t>cash_from_operations_cr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pat_cagr_5yr</t>
        </is>
      </c>
      <c r="W1" s="1" t="inlineStr">
        <is>
          <t>pat_cagr_5yr_flag</t>
        </is>
      </c>
      <c r="X1" s="1" t="inlineStr">
        <is>
          <t>eps_cagr_5yr</t>
        </is>
      </c>
      <c r="Y1" s="1" t="inlineStr">
        <is>
          <t>eps_cagr_5yr_flag</t>
        </is>
      </c>
      <c r="Z1" s="1" t="inlineStr">
        <is>
          <t>composite_quality_score</t>
        </is>
      </c>
      <c r="AA1" s="1" t="inlineStr">
        <is>
          <t>year_num</t>
        </is>
      </c>
      <c r="AB1" s="1" t="inlineStr">
        <is>
          <t>asset_turnover_pct_rank</t>
        </is>
      </c>
      <c r="AC1" s="1" t="inlineStr">
        <is>
          <t>debt_to_equity_pct_rank</t>
        </is>
      </c>
      <c r="AD1" s="1" t="inlineStr">
        <is>
          <t>eps_cagr_5yr_pct_rank</t>
        </is>
      </c>
      <c r="AE1" s="1" t="inlineStr">
        <is>
          <t>free_cash_flow_cr_pct_rank</t>
        </is>
      </c>
      <c r="AF1" s="1" t="inlineStr">
        <is>
          <t>interest_coverage_pct_rank</t>
        </is>
      </c>
      <c r="AG1" s="1" t="inlineStr">
        <is>
          <t>net_profit_margin_pct_pct_rank</t>
        </is>
      </c>
      <c r="AH1" s="1" t="inlineStr">
        <is>
          <t>pat_cagr_5yr_pct_rank</t>
        </is>
      </c>
      <c r="AI1" s="1" t="inlineStr">
        <is>
          <t>return_on_capital_employed_pct_pct_rank</t>
        </is>
      </c>
      <c r="AJ1" s="1" t="inlineStr">
        <is>
          <t>return_on_equity_pct_pct_rank</t>
        </is>
      </c>
      <c r="AK1" s="1" t="inlineStr">
        <is>
          <t>revenue_cagr_5yr_pct_rank</t>
        </is>
      </c>
    </row>
    <row r="2">
      <c r="A2" s="2" t="n">
        <v>54</v>
      </c>
      <c r="B2" s="2" t="inlineStr">
        <is>
          <t>Consumer Finance</t>
        </is>
      </c>
      <c r="C2" s="2" t="inlineStr">
        <is>
          <t>BAJFINANCE</t>
        </is>
      </c>
      <c r="D2" s="2" t="n">
        <v>1</v>
      </c>
      <c r="E2" s="2" t="n">
        <v>182</v>
      </c>
      <c r="F2" s="2" t="inlineStr">
        <is>
          <t>Mar 2024</t>
        </is>
      </c>
      <c r="G2" s="2" t="n">
        <v>26.28792839991269</v>
      </c>
      <c r="H2" s="2" t="n">
        <v>29.28581823473769</v>
      </c>
      <c r="I2" s="2" t="n">
        <v>18.8419213518306</v>
      </c>
      <c r="J2" s="2" t="n">
        <v>3.824788776468134</v>
      </c>
      <c r="K2" s="2" t="n">
        <v>2689.166666666667</v>
      </c>
      <c r="L2" s="2" t="n">
        <v>0.1463025160881668</v>
      </c>
      <c r="M2" s="2" t="n">
        <v>-79931</v>
      </c>
      <c r="N2" s="2" t="n">
        <v>13.04482281888962</v>
      </c>
      <c r="O2" s="2" t="n">
        <v>233</v>
      </c>
      <c r="P2" s="2" t="n">
        <v>76696</v>
      </c>
      <c r="Q2" s="2" t="n">
        <v>15</v>
      </c>
      <c r="R2" s="2" t="n">
        <v>293346</v>
      </c>
      <c r="S2" s="2" t="n">
        <v>-5.034945678499758</v>
      </c>
      <c r="T2" s="2" t="n">
        <v>18.74986532093095</v>
      </c>
      <c r="U2" s="2" t="inlineStr">
        <is>
          <t>NORMAL</t>
        </is>
      </c>
      <c r="V2" s="2" t="n">
        <v>23.93070030600042</v>
      </c>
      <c r="W2" s="2" t="inlineStr">
        <is>
          <t>NORMAL</t>
        </is>
      </c>
      <c r="X2" s="2" t="n">
        <v>23.30664621185845</v>
      </c>
      <c r="Y2" s="2" t="inlineStr">
        <is>
          <t>NORMAL</t>
        </is>
      </c>
      <c r="Z2" s="2" t="n">
        <v>0</v>
      </c>
      <c r="AA2" s="2" t="n">
        <v>2024</v>
      </c>
      <c r="AB2" s="4" t="n">
        <v>0.6667</v>
      </c>
      <c r="AC2" s="3" t="n">
        <v>1</v>
      </c>
      <c r="AD2" s="4" t="n">
        <v>0.6667</v>
      </c>
      <c r="AE2" s="4" t="n">
        <v>0.3333</v>
      </c>
      <c r="AF2" s="3" t="n">
        <v>1</v>
      </c>
      <c r="AG2" s="3" t="n">
        <v>1</v>
      </c>
      <c r="AH2" s="4" t="n">
        <v>0.3333</v>
      </c>
      <c r="AI2" s="3" t="n">
        <v>1</v>
      </c>
      <c r="AJ2" s="3" t="n">
        <v>1</v>
      </c>
      <c r="AK2" s="4" t="n">
        <v>0.3333</v>
      </c>
    </row>
    <row r="3">
      <c r="A3" t="n">
        <v>55</v>
      </c>
      <c r="B3" t="inlineStr">
        <is>
          <t>Consumer Finance</t>
        </is>
      </c>
      <c r="C3" t="inlineStr">
        <is>
          <t>CHOLAFIN</t>
        </is>
      </c>
      <c r="D3" t="n">
        <v>0</v>
      </c>
      <c r="E3" t="n">
        <v>299</v>
      </c>
      <c r="F3" t="inlineStr">
        <is>
          <t>Mar 2024</t>
        </is>
      </c>
      <c r="G3" t="n">
        <v>17.84689244899024</v>
      </c>
      <c r="H3" t="n">
        <v>28.10102802275218</v>
      </c>
      <c r="I3" t="n">
        <v>17.45521359669269</v>
      </c>
      <c r="J3" t="n">
        <v>6.863420609401317</v>
      </c>
      <c r="K3" t="n">
        <v>21.21176470588235</v>
      </c>
      <c r="L3" t="n">
        <v>0.1223019286981606</v>
      </c>
      <c r="M3" t="n">
        <v>-38538</v>
      </c>
      <c r="N3" t="n">
        <v>14.89850232218337</v>
      </c>
      <c r="O3" t="n">
        <v>41</v>
      </c>
      <c r="P3" t="n">
        <v>19593</v>
      </c>
      <c r="Q3" t="n">
        <v>5</v>
      </c>
      <c r="R3" t="n">
        <v>134475</v>
      </c>
      <c r="S3" t="n">
        <v>-10.43362573099415</v>
      </c>
      <c r="T3" t="n">
        <v>20.89842710981413</v>
      </c>
      <c r="U3" t="inlineStr">
        <is>
          <t>NORMAL</t>
        </is>
      </c>
      <c r="V3" t="n">
        <v>29.58929688597705</v>
      </c>
      <c r="W3" t="inlineStr">
        <is>
          <t>NORMAL</t>
        </is>
      </c>
      <c r="X3" t="n">
        <v>28.75464206833893</v>
      </c>
      <c r="Y3" t="inlineStr">
        <is>
          <t>NORMAL</t>
        </is>
      </c>
      <c r="Z3" t="n">
        <v>0</v>
      </c>
      <c r="AA3" t="n">
        <v>2024</v>
      </c>
      <c r="AB3" s="4" t="n">
        <v>0.3333</v>
      </c>
      <c r="AC3" s="4" t="n">
        <v>0.3333</v>
      </c>
      <c r="AD3" s="3" t="n">
        <v>1</v>
      </c>
      <c r="AE3" s="4" t="n">
        <v>0.6667</v>
      </c>
      <c r="AF3" s="4" t="n">
        <v>0.6667</v>
      </c>
      <c r="AG3" s="4" t="n">
        <v>0.3333</v>
      </c>
      <c r="AH3" s="4" t="n">
        <v>0.6667</v>
      </c>
      <c r="AI3" s="4" t="n">
        <v>0.3333</v>
      </c>
      <c r="AJ3" s="4" t="n">
        <v>0.6667</v>
      </c>
      <c r="AK3" s="3" t="n">
        <v>1</v>
      </c>
    </row>
    <row r="4">
      <c r="A4" t="n">
        <v>56</v>
      </c>
      <c r="B4" t="inlineStr">
        <is>
          <t>Consumer Finance</t>
        </is>
      </c>
      <c r="C4" t="inlineStr">
        <is>
          <t>SHRIRAMFIN</t>
        </is>
      </c>
      <c r="D4" t="n">
        <v>0</v>
      </c>
      <c r="E4" t="n">
        <v>995</v>
      </c>
      <c r="F4" t="inlineStr">
        <is>
          <t>Mar 2024</t>
        </is>
      </c>
      <c r="G4" t="n">
        <v>20.33362647026492</v>
      </c>
      <c r="H4" t="n">
        <v>28.91887435418269</v>
      </c>
      <c r="I4" t="n">
        <v>15.11635033812082</v>
      </c>
      <c r="J4" t="n">
        <v>3.994034363699512</v>
      </c>
      <c r="K4" t="n">
        <v>0.6766743648960739</v>
      </c>
      <c r="L4" t="n">
        <v>0.1465685998082701</v>
      </c>
      <c r="M4" t="n">
        <v>-31359</v>
      </c>
      <c r="N4" t="n">
        <v>0.7090249532813014</v>
      </c>
      <c r="O4" t="n">
        <v>39</v>
      </c>
      <c r="P4" t="n">
        <v>48947</v>
      </c>
      <c r="Q4" t="n">
        <v>23</v>
      </c>
      <c r="R4" t="n">
        <v>195496</v>
      </c>
      <c r="S4" t="n">
        <v>-4.203405865657522</v>
      </c>
      <c r="T4" t="n">
        <v>19.20620533579174</v>
      </c>
      <c r="U4" t="inlineStr">
        <is>
          <t>NORMAL</t>
        </is>
      </c>
      <c r="V4" t="n">
        <v>30.35244830382684</v>
      </c>
      <c r="W4" t="inlineStr">
        <is>
          <t>NORMAL</t>
        </is>
      </c>
      <c r="X4" t="n">
        <v>20.11244339814313</v>
      </c>
      <c r="Y4" t="inlineStr">
        <is>
          <t>NORMAL</t>
        </is>
      </c>
      <c r="Z4" t="n">
        <v>0</v>
      </c>
      <c r="AA4" t="n">
        <v>2024</v>
      </c>
      <c r="AB4" s="3" t="n">
        <v>1</v>
      </c>
      <c r="AC4" s="4" t="n">
        <v>0.6667</v>
      </c>
      <c r="AD4" s="4" t="n">
        <v>0.3333</v>
      </c>
      <c r="AE4" s="3" t="n">
        <v>1</v>
      </c>
      <c r="AF4" s="4" t="n">
        <v>0.3333</v>
      </c>
      <c r="AG4" s="4" t="n">
        <v>0.6667</v>
      </c>
      <c r="AH4" s="3" t="n">
        <v>1</v>
      </c>
      <c r="AI4" s="4" t="n">
        <v>0.6667</v>
      </c>
      <c r="AJ4" s="4" t="n">
        <v>0.3333</v>
      </c>
      <c r="AK4" s="4" t="n">
        <v>0.6667</v>
      </c>
    </row>
    <row r="5">
      <c r="A5" s="6" t="inlineStr">
        <is>
          <t>Median</t>
        </is>
      </c>
      <c r="AB5">
        <f>MEDIAN(AB2:AB4)</f>
        <v/>
      </c>
      <c r="AC5">
        <f>MEDIAN(AC2:AC4)</f>
        <v/>
      </c>
      <c r="AD5">
        <f>MEDIAN(AD2:AD4)</f>
        <v/>
      </c>
      <c r="AE5">
        <f>MEDIAN(AE2:AE4)</f>
        <v/>
      </c>
      <c r="AF5">
        <f>MEDIAN(AF2:AF4)</f>
        <v/>
      </c>
      <c r="AG5">
        <f>MEDIAN(AG2:AG4)</f>
        <v/>
      </c>
      <c r="AH5">
        <f>MEDIAN(AH2:AH4)</f>
        <v/>
      </c>
      <c r="AI5">
        <f>MEDIAN(AI2:AI4)</f>
        <v/>
      </c>
      <c r="AJ5">
        <f>MEDIAN(AJ2:AJ4)</f>
        <v/>
      </c>
      <c r="AK5">
        <f>MEDIAN(AK2:AK4)</f>
        <v/>
      </c>
    </row>
  </sheetData>
  <autoFilter ref="A1:AK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12" customWidth="1" min="3" max="3"/>
    <col width="14" customWidth="1" min="4" max="4"/>
    <col width="6" customWidth="1" min="5" max="5"/>
    <col width="10" customWidth="1" min="6" max="6"/>
    <col width="23" customWidth="1" min="7" max="7"/>
    <col width="24" customWidth="1" min="8" max="8"/>
    <col width="22" customWidth="1" min="9" max="9"/>
    <col width="20" customWidth="1" min="10" max="10"/>
    <col width="19" customWidth="1" min="11" max="11"/>
    <col width="20" customWidth="1" min="12" max="12"/>
    <col width="19" customWidth="1" min="13" max="13"/>
    <col width="19" customWidth="1" min="14" max="14"/>
    <col width="20" customWidth="1" min="15" max="15"/>
    <col width="22" customWidth="1" min="16" max="16"/>
    <col width="24" customWidth="1" min="17" max="17"/>
    <col width="15" customWidth="1" min="18" max="18"/>
    <col width="24" customWidth="1" min="19" max="19"/>
    <col width="19" customWidth="1" min="20" max="20"/>
    <col width="23" customWidth="1" min="21" max="21"/>
    <col width="19" customWidth="1" min="22" max="22"/>
    <col width="19" customWidth="1" min="23" max="23"/>
    <col width="19" customWidth="1" min="24" max="24"/>
    <col width="19" customWidth="1" min="25" max="25"/>
    <col width="24" customWidth="1" min="26" max="26"/>
    <col width="10" customWidth="1" min="27" max="27"/>
    <col width="24" customWidth="1" min="28" max="28"/>
    <col width="24" customWidth="1" min="29" max="29"/>
    <col width="23" customWidth="1" min="30" max="30"/>
    <col width="24" customWidth="1" min="31" max="31"/>
    <col width="24" customWidth="1" min="32" max="32"/>
    <col width="24" customWidth="1" min="33" max="33"/>
    <col width="23" customWidth="1" min="34" max="34"/>
    <col width="24" customWidth="1" min="35" max="35"/>
    <col width="24" customWidth="1" min="36" max="36"/>
    <col width="24" customWidth="1" min="37" max="37"/>
  </cols>
  <sheetData>
    <row r="1">
      <c r="A1" s="1" t="inlineStr">
        <is>
          <t>id_x</t>
        </is>
      </c>
      <c r="B1" s="1" t="inlineStr">
        <is>
          <t>peer_group_name</t>
        </is>
      </c>
      <c r="C1" s="1" t="inlineStr">
        <is>
          <t>company_id</t>
        </is>
      </c>
      <c r="D1" s="1" t="inlineStr">
        <is>
          <t>is_benchmark</t>
        </is>
      </c>
      <c r="E1" s="1" t="inlineStr">
        <is>
          <t>id_y</t>
        </is>
      </c>
      <c r="F1" s="1" t="inlineStr">
        <is>
          <t>year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return_on_equity_pct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total_debt_cr</t>
        </is>
      </c>
      <c r="S1" s="1" t="inlineStr">
        <is>
          <t>cash_from_operations_cr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pat_cagr_5yr</t>
        </is>
      </c>
      <c r="W1" s="1" t="inlineStr">
        <is>
          <t>pat_cagr_5yr_flag</t>
        </is>
      </c>
      <c r="X1" s="1" t="inlineStr">
        <is>
          <t>eps_cagr_5yr</t>
        </is>
      </c>
      <c r="Y1" s="1" t="inlineStr">
        <is>
          <t>eps_cagr_5yr_flag</t>
        </is>
      </c>
      <c r="Z1" s="1" t="inlineStr">
        <is>
          <t>composite_quality_score</t>
        </is>
      </c>
      <c r="AA1" s="1" t="inlineStr">
        <is>
          <t>year_num</t>
        </is>
      </c>
      <c r="AB1" s="1" t="inlineStr">
        <is>
          <t>asset_turnover_pct_rank</t>
        </is>
      </c>
      <c r="AC1" s="1" t="inlineStr">
        <is>
          <t>debt_to_equity_pct_rank</t>
        </is>
      </c>
      <c r="AD1" s="1" t="inlineStr">
        <is>
          <t>eps_cagr_5yr_pct_rank</t>
        </is>
      </c>
      <c r="AE1" s="1" t="inlineStr">
        <is>
          <t>free_cash_flow_cr_pct_rank</t>
        </is>
      </c>
      <c r="AF1" s="1" t="inlineStr">
        <is>
          <t>interest_coverage_pct_rank</t>
        </is>
      </c>
      <c r="AG1" s="1" t="inlineStr">
        <is>
          <t>net_profit_margin_pct_pct_rank</t>
        </is>
      </c>
      <c r="AH1" s="1" t="inlineStr">
        <is>
          <t>pat_cagr_5yr_pct_rank</t>
        </is>
      </c>
      <c r="AI1" s="1" t="inlineStr">
        <is>
          <t>return_on_capital_employed_pct_pct_rank</t>
        </is>
      </c>
      <c r="AJ1" s="1" t="inlineStr">
        <is>
          <t>return_on_equity_pct_pct_rank</t>
        </is>
      </c>
      <c r="AK1" s="1" t="inlineStr">
        <is>
          <t>revenue_cagr_5yr_pct_rank</t>
        </is>
      </c>
    </row>
    <row r="2">
      <c r="A2" s="2" t="n">
        <v>47</v>
      </c>
      <c r="B2" s="2" t="inlineStr">
        <is>
          <t>FMCG</t>
        </is>
      </c>
      <c r="C2" s="2" t="inlineStr">
        <is>
          <t>HINDUNILVR</t>
        </is>
      </c>
      <c r="D2" s="2" t="n">
        <v>1</v>
      </c>
      <c r="E2" s="2" t="n">
        <v>545</v>
      </c>
      <c r="F2" s="2" t="inlineStr">
        <is>
          <t>Mar 2024</t>
        </is>
      </c>
      <c r="G2" s="2" t="n">
        <v>16.61173581491534</v>
      </c>
      <c r="H2" s="2" t="n">
        <v>76.31672482874498</v>
      </c>
      <c r="I2" s="2" t="n">
        <v>20.07497364207896</v>
      </c>
      <c r="J2" s="2" t="n">
        <v>0.0289741887617634</v>
      </c>
      <c r="K2" s="2" t="n">
        <v>57.8470012239902</v>
      </c>
      <c r="L2" s="2" t="n">
        <v>0.7885945801322478</v>
      </c>
      <c r="M2" s="2" t="n">
        <v>10145</v>
      </c>
      <c r="N2" s="2" t="n">
        <v>8.601525138942742</v>
      </c>
      <c r="O2" s="2" t="n">
        <v>44</v>
      </c>
      <c r="P2" s="2" t="n">
        <v>51218</v>
      </c>
      <c r="Q2" s="2" t="n">
        <v>96</v>
      </c>
      <c r="R2" s="2" t="n">
        <v>1484</v>
      </c>
      <c r="S2" s="2" t="n">
        <v>1.504473837774752</v>
      </c>
      <c r="T2" s="2" t="n">
        <v>9.511558178059044</v>
      </c>
      <c r="U2" s="2" t="inlineStr">
        <is>
          <t>NORMAL</t>
        </is>
      </c>
      <c r="V2" s="2" t="n">
        <v>9.748932723060143</v>
      </c>
      <c r="W2" s="2" t="inlineStr">
        <is>
          <t>NORMAL</t>
        </is>
      </c>
      <c r="X2" s="2" t="n">
        <v>8.212947767693679</v>
      </c>
      <c r="Y2" s="2" t="inlineStr">
        <is>
          <t>NORMAL</t>
        </is>
      </c>
      <c r="Z2" s="2" t="n">
        <v>0</v>
      </c>
      <c r="AA2" s="2" t="n">
        <v>2024</v>
      </c>
      <c r="AB2" s="4" t="n">
        <v>0.5714</v>
      </c>
      <c r="AC2" s="3" t="n">
        <v>0.8571</v>
      </c>
      <c r="AD2" s="4" t="n">
        <v>0.5</v>
      </c>
      <c r="AE2" s="3" t="n">
        <v>0.8571</v>
      </c>
      <c r="AF2" s="3" t="n">
        <v>0.8571</v>
      </c>
      <c r="AG2" s="3" t="n">
        <v>0.8571</v>
      </c>
      <c r="AH2" s="4" t="n">
        <v>0.6667</v>
      </c>
      <c r="AI2" s="3" t="n">
        <v>0.8571</v>
      </c>
      <c r="AJ2" s="4" t="n">
        <v>0.5714</v>
      </c>
      <c r="AK2" s="3" t="n">
        <v>0.8571</v>
      </c>
    </row>
    <row r="3">
      <c r="A3" t="n">
        <v>48</v>
      </c>
      <c r="B3" t="inlineStr">
        <is>
          <t>FMCG</t>
        </is>
      </c>
      <c r="C3" t="inlineStr">
        <is>
          <t>ITC</t>
        </is>
      </c>
      <c r="D3" t="n">
        <v>0</v>
      </c>
      <c r="E3" t="n">
        <v>660</v>
      </c>
      <c r="F3" t="inlineStr">
        <is>
          <t>Mar 2024</t>
        </is>
      </c>
      <c r="G3" t="n">
        <v>29.28202523071713</v>
      </c>
      <c r="H3" t="n">
        <v>37.0177518132814</v>
      </c>
      <c r="I3" t="n">
        <v>27.85107439569436</v>
      </c>
      <c r="J3" t="n">
        <v>0.0040667319849141</v>
      </c>
      <c r="K3" t="n">
        <v>362.9625</v>
      </c>
      <c r="L3" t="n">
        <v>0.7723477995509732</v>
      </c>
      <c r="M3" t="n">
        <v>18742</v>
      </c>
      <c r="N3" t="n">
        <v>2.205571077808822</v>
      </c>
      <c r="O3" t="n">
        <v>16</v>
      </c>
      <c r="P3" t="n">
        <v>74507</v>
      </c>
      <c r="Q3" t="n">
        <v>84</v>
      </c>
      <c r="R3" t="n">
        <v>303</v>
      </c>
      <c r="S3" t="n">
        <v>0.8278637174112091</v>
      </c>
      <c r="T3" t="n">
        <v>8.753732274187742</v>
      </c>
      <c r="U3" t="inlineStr">
        <is>
          <t>NORMAL</t>
        </is>
      </c>
      <c r="V3" t="n">
        <v>5.961414761036021</v>
      </c>
      <c r="W3" t="inlineStr">
        <is>
          <t>NORMAL</t>
        </is>
      </c>
      <c r="X3" t="n">
        <v>5.922384104881218</v>
      </c>
      <c r="Y3" t="inlineStr">
        <is>
          <t>NORMAL</t>
        </is>
      </c>
      <c r="Z3" t="n">
        <v>0</v>
      </c>
      <c r="AA3" t="n">
        <v>2024</v>
      </c>
      <c r="AB3" s="4" t="n">
        <v>0.4286</v>
      </c>
      <c r="AC3" s="3" t="n">
        <v>1</v>
      </c>
      <c r="AD3" s="4" t="n">
        <v>0.3333</v>
      </c>
      <c r="AE3" s="3" t="n">
        <v>1</v>
      </c>
      <c r="AF3" s="3" t="n">
        <v>1</v>
      </c>
      <c r="AG3" s="3" t="n">
        <v>1</v>
      </c>
      <c r="AH3" s="4" t="n">
        <v>0.3333</v>
      </c>
      <c r="AI3" s="4" t="n">
        <v>0.5714</v>
      </c>
      <c r="AJ3" s="4" t="n">
        <v>0.7143</v>
      </c>
      <c r="AK3" s="4" t="n">
        <v>0.7143</v>
      </c>
    </row>
    <row r="4">
      <c r="A4" t="n">
        <v>49</v>
      </c>
      <c r="B4" t="inlineStr">
        <is>
          <t>FMCG</t>
        </is>
      </c>
      <c r="C4" t="inlineStr">
        <is>
          <t>BRITANNIA</t>
        </is>
      </c>
      <c r="D4" t="n">
        <v>0</v>
      </c>
      <c r="E4" t="n">
        <v>273</v>
      </c>
      <c r="F4" t="inlineStr">
        <is>
          <t>Mar 2024</t>
        </is>
      </c>
      <c r="G4" t="n">
        <v>12.72586319995229</v>
      </c>
      <c r="H4" t="n">
        <v>18.88603971614288</v>
      </c>
      <c r="I4" t="n">
        <v>54.14869322506978</v>
      </c>
      <c r="J4" t="n">
        <v>0.5239786856127886</v>
      </c>
      <c r="K4" t="n">
        <v>20.59756097560976</v>
      </c>
      <c r="L4" t="n">
        <v>1.848434744268077</v>
      </c>
      <c r="M4" t="n">
        <v>3050</v>
      </c>
      <c r="N4" t="n">
        <v>2.844534557815016</v>
      </c>
      <c r="O4" t="n">
        <v>89</v>
      </c>
      <c r="P4" t="n">
        <v>3941</v>
      </c>
      <c r="Q4" t="n">
        <v>83</v>
      </c>
      <c r="R4" t="n">
        <v>2065</v>
      </c>
      <c r="S4" t="n">
        <v>1.205716963448922</v>
      </c>
      <c r="T4" t="n">
        <v>8.252018974423404</v>
      </c>
      <c r="U4" t="inlineStr">
        <is>
          <t>NORMAL</t>
        </is>
      </c>
      <c r="V4" t="n">
        <v>8.838507464201339</v>
      </c>
      <c r="W4" t="inlineStr">
        <is>
          <t>NORMAL</t>
        </is>
      </c>
      <c r="X4" t="n">
        <v>8.941262171957565</v>
      </c>
      <c r="Y4" t="inlineStr">
        <is>
          <t>NORMAL</t>
        </is>
      </c>
      <c r="Z4" t="n">
        <v>0</v>
      </c>
      <c r="AA4" t="n">
        <v>2024</v>
      </c>
      <c r="AB4" s="3" t="n">
        <v>0.8571</v>
      </c>
      <c r="AC4" s="5" t="n">
        <v>0.1429</v>
      </c>
      <c r="AD4" s="4" t="n">
        <v>0.6667</v>
      </c>
      <c r="AE4" s="4" t="n">
        <v>0.7143</v>
      </c>
      <c r="AF4" s="4" t="n">
        <v>0.2857</v>
      </c>
      <c r="AG4" s="4" t="n">
        <v>0.4286</v>
      </c>
      <c r="AH4" s="4" t="n">
        <v>0.5</v>
      </c>
      <c r="AI4" s="4" t="n">
        <v>0.7143</v>
      </c>
      <c r="AJ4" s="3" t="n">
        <v>0.8571</v>
      </c>
      <c r="AK4" s="4" t="n">
        <v>0.5714</v>
      </c>
    </row>
    <row r="5">
      <c r="A5" t="n">
        <v>50</v>
      </c>
      <c r="B5" t="inlineStr">
        <is>
          <t>FMCG</t>
        </is>
      </c>
      <c r="C5" t="inlineStr">
        <is>
          <t>DABUR</t>
        </is>
      </c>
      <c r="D5" t="n">
        <v>0</v>
      </c>
      <c r="E5" t="n">
        <v>338</v>
      </c>
      <c r="F5" t="inlineStr">
        <is>
          <t>Mar 2024</t>
        </is>
      </c>
      <c r="G5" t="n">
        <v>14.60012899064818</v>
      </c>
      <c r="H5" t="n">
        <v>19.34859722670106</v>
      </c>
      <c r="I5" t="n">
        <v>18.35596999797284</v>
      </c>
      <c r="J5" t="n">
        <v>0.1383539428339752</v>
      </c>
      <c r="K5" t="n">
        <v>23.24193548387097</v>
      </c>
      <c r="L5" t="n">
        <v>0.8205874569992061</v>
      </c>
      <c r="M5" t="n">
        <v>1042</v>
      </c>
      <c r="N5" t="n">
        <v>7.828119961302805</v>
      </c>
      <c r="O5" t="n">
        <v>10</v>
      </c>
      <c r="P5" t="n">
        <v>9866</v>
      </c>
      <c r="Q5" t="n">
        <v>53</v>
      </c>
      <c r="R5" t="n">
        <v>1365</v>
      </c>
      <c r="S5" t="n">
        <v>1.111540585311982</v>
      </c>
      <c r="T5" t="n">
        <v>7.463003199995866</v>
      </c>
      <c r="U5" t="inlineStr">
        <is>
          <t>NORMAL</t>
        </is>
      </c>
      <c r="V5" t="n">
        <v>3.979762515132412</v>
      </c>
      <c r="W5" t="inlineStr">
        <is>
          <t>NORMAL</t>
        </is>
      </c>
      <c r="X5" t="n">
        <v>4.563955259127317</v>
      </c>
      <c r="Y5" t="inlineStr">
        <is>
          <t>NORMAL</t>
        </is>
      </c>
      <c r="Z5" t="n">
        <v>0</v>
      </c>
      <c r="AA5" t="n">
        <v>2024</v>
      </c>
      <c r="AB5" s="4" t="n">
        <v>0.7143</v>
      </c>
      <c r="AC5" s="4" t="n">
        <v>0.5714</v>
      </c>
      <c r="AD5" s="5" t="n">
        <v>0.1667</v>
      </c>
      <c r="AE5" s="4" t="n">
        <v>0.4286</v>
      </c>
      <c r="AF5" s="4" t="n">
        <v>0.4286</v>
      </c>
      <c r="AG5" s="4" t="n">
        <v>0.5714</v>
      </c>
      <c r="AH5" s="5" t="n">
        <v>0.1667</v>
      </c>
      <c r="AI5" s="4" t="n">
        <v>0.4286</v>
      </c>
      <c r="AJ5" s="4" t="n">
        <v>0.4286</v>
      </c>
      <c r="AK5" s="4" t="n">
        <v>0.2857</v>
      </c>
    </row>
    <row r="6">
      <c r="A6" t="n">
        <v>51</v>
      </c>
      <c r="B6" t="inlineStr">
        <is>
          <t>FMCG</t>
        </is>
      </c>
      <c r="C6" t="inlineStr">
        <is>
          <t>NESTLEIND</t>
        </is>
      </c>
      <c r="D6" t="n">
        <v>0</v>
      </c>
      <c r="E6" t="n">
        <v>826</v>
      </c>
      <c r="F6" t="inlineStr">
        <is>
          <t>Mar 2024</t>
        </is>
      </c>
      <c r="G6" t="n">
        <v>16.12281708616873</v>
      </c>
      <c r="H6" t="n">
        <v>23.82963023694351</v>
      </c>
      <c r="I6" t="n">
        <v>117.7544910179641</v>
      </c>
      <c r="J6" t="n">
        <v>0.1032934131736526</v>
      </c>
      <c r="K6" t="n">
        <v>41.18620689655173</v>
      </c>
      <c r="L6" t="n">
        <v>2.318160220469448</v>
      </c>
      <c r="M6" t="n">
        <v>2938</v>
      </c>
      <c r="N6" t="n">
        <v>5.070919078461917</v>
      </c>
      <c r="O6" t="n">
        <v>41</v>
      </c>
      <c r="P6" t="n">
        <v>3340</v>
      </c>
      <c r="Q6" t="n">
        <v>79</v>
      </c>
      <c r="R6" t="n">
        <v>345</v>
      </c>
      <c r="S6" t="n">
        <v>1.061530638189677</v>
      </c>
      <c r="T6" t="n">
        <v>8.187067192727703</v>
      </c>
      <c r="U6" t="inlineStr">
        <is>
          <t>NORMAL</t>
        </is>
      </c>
      <c r="V6" t="n">
        <v>9.80191720693384</v>
      </c>
      <c r="W6" t="inlineStr">
        <is>
          <t>NORMAL</t>
        </is>
      </c>
      <c r="X6" t="n">
        <v>9.096607850144968</v>
      </c>
      <c r="Y6" t="inlineStr">
        <is>
          <t>NORMAL</t>
        </is>
      </c>
      <c r="Z6" t="n">
        <v>0</v>
      </c>
      <c r="AA6" t="n">
        <v>2024</v>
      </c>
      <c r="AB6" s="3" t="n">
        <v>1</v>
      </c>
      <c r="AC6" s="4" t="n">
        <v>0.7143</v>
      </c>
      <c r="AD6" s="3" t="n">
        <v>0.8333</v>
      </c>
      <c r="AE6" s="4" t="n">
        <v>0.5714</v>
      </c>
      <c r="AF6" s="4" t="n">
        <v>0.7143</v>
      </c>
      <c r="AG6" s="4" t="n">
        <v>0.7143</v>
      </c>
      <c r="AH6" s="3" t="n">
        <v>0.8333</v>
      </c>
      <c r="AI6" s="3" t="n">
        <v>1</v>
      </c>
      <c r="AJ6" s="3" t="n">
        <v>1</v>
      </c>
      <c r="AK6" s="4" t="n">
        <v>0.4286</v>
      </c>
    </row>
    <row r="7">
      <c r="A7" t="n">
        <v>52</v>
      </c>
      <c r="B7" t="inlineStr">
        <is>
          <t>FMCG</t>
        </is>
      </c>
      <c r="C7" t="inlineStr">
        <is>
          <t>GODREJCP</t>
        </is>
      </c>
      <c r="D7" t="n">
        <v>0</v>
      </c>
      <c r="E7" t="n">
        <v>429</v>
      </c>
      <c r="F7" t="inlineStr">
        <is>
          <t>Mar 2024</t>
        </is>
      </c>
      <c r="G7" t="n">
        <v>-3.979852440408626</v>
      </c>
      <c r="H7" t="n">
        <v>20.97758229284904</v>
      </c>
      <c r="I7" t="n">
        <v>-4.45308779171297</v>
      </c>
      <c r="J7" t="n">
        <v>0.2557548817272583</v>
      </c>
      <c r="K7" t="n">
        <v>2.412903225806452</v>
      </c>
      <c r="L7" t="n">
        <v>0.7664201826881253</v>
      </c>
      <c r="M7" t="n">
        <v>-1365</v>
      </c>
      <c r="N7" t="n">
        <v>24.36861520998865</v>
      </c>
      <c r="O7" t="n">
        <v>-5</v>
      </c>
      <c r="P7" t="n">
        <v>12598</v>
      </c>
      <c r="R7" t="n">
        <v>3222</v>
      </c>
      <c r="S7" t="n">
        <v>-3.689839572192513</v>
      </c>
      <c r="T7" t="n">
        <v>7.384121546873557</v>
      </c>
      <c r="U7" t="inlineStr">
        <is>
          <t>NORMAL</t>
        </is>
      </c>
      <c r="W7" t="inlineStr">
        <is>
          <t>DECLINE_TO_LOSS</t>
        </is>
      </c>
      <c r="Y7" t="inlineStr">
        <is>
          <t>DECLINE_TO_LOSS</t>
        </is>
      </c>
      <c r="Z7" t="n">
        <v>0</v>
      </c>
      <c r="AA7" t="n">
        <v>2024</v>
      </c>
      <c r="AB7" s="4" t="n">
        <v>0.2857</v>
      </c>
      <c r="AC7" s="4" t="n">
        <v>0.2857</v>
      </c>
      <c r="AE7" s="5" t="n">
        <v>0.1429</v>
      </c>
      <c r="AF7" s="5" t="n">
        <v>0.1429</v>
      </c>
      <c r="AG7" s="5" t="n">
        <v>0.1429</v>
      </c>
      <c r="AI7" s="4" t="n">
        <v>0.2857</v>
      </c>
      <c r="AJ7" s="5" t="n">
        <v>0.1429</v>
      </c>
      <c r="AK7" s="5" t="n">
        <v>0.1429</v>
      </c>
    </row>
    <row r="8">
      <c r="A8" t="n">
        <v>53</v>
      </c>
      <c r="B8" t="inlineStr">
        <is>
          <t>FMCG</t>
        </is>
      </c>
      <c r="C8" t="inlineStr">
        <is>
          <t>TATACONSUM</t>
        </is>
      </c>
      <c r="D8" t="n">
        <v>0</v>
      </c>
      <c r="E8" t="n">
        <v>1033</v>
      </c>
      <c r="F8" t="inlineStr">
        <is>
          <t>Mar 2024</t>
        </is>
      </c>
      <c r="G8" t="n">
        <v>7.990266999868472</v>
      </c>
      <c r="H8" t="n">
        <v>15.02038668946468</v>
      </c>
      <c r="I8" t="n">
        <v>7.566793298872766</v>
      </c>
      <c r="J8" t="n">
        <v>0.21654107242947</v>
      </c>
      <c r="K8" t="n">
        <v>25.32183908045977</v>
      </c>
      <c r="L8" t="n">
        <v>0.5454284586965099</v>
      </c>
      <c r="M8" t="n">
        <v>26</v>
      </c>
      <c r="N8" t="n">
        <v>12.56740760226226</v>
      </c>
      <c r="O8" t="n">
        <v>12</v>
      </c>
      <c r="P8" t="n">
        <v>16057</v>
      </c>
      <c r="Q8" t="n">
        <v>64</v>
      </c>
      <c r="R8" t="n">
        <v>3477</v>
      </c>
      <c r="S8" t="n">
        <v>1.594238683127572</v>
      </c>
      <c r="T8" t="n">
        <v>11.07930692232701</v>
      </c>
      <c r="U8" t="inlineStr">
        <is>
          <t>NORMAL</t>
        </is>
      </c>
      <c r="V8" t="n">
        <v>20.5273494598889</v>
      </c>
      <c r="W8" t="inlineStr">
        <is>
          <t>NORMAL</t>
        </is>
      </c>
      <c r="X8" t="n">
        <v>19.13578981670916</v>
      </c>
      <c r="Y8" t="inlineStr">
        <is>
          <t>NORMAL</t>
        </is>
      </c>
      <c r="Z8" t="n">
        <v>0</v>
      </c>
      <c r="AA8" t="n">
        <v>2024</v>
      </c>
      <c r="AB8" s="5" t="n">
        <v>0.1429</v>
      </c>
      <c r="AC8" s="4" t="n">
        <v>0.4286</v>
      </c>
      <c r="AD8" s="3" t="n">
        <v>1</v>
      </c>
      <c r="AE8" s="4" t="n">
        <v>0.2857</v>
      </c>
      <c r="AF8" s="4" t="n">
        <v>0.5714</v>
      </c>
      <c r="AG8" s="4" t="n">
        <v>0.2857</v>
      </c>
      <c r="AH8" s="3" t="n">
        <v>1</v>
      </c>
      <c r="AI8" s="5" t="n">
        <v>0.1429</v>
      </c>
      <c r="AJ8" s="4" t="n">
        <v>0.2857</v>
      </c>
      <c r="AK8" s="3" t="n">
        <v>1</v>
      </c>
    </row>
    <row r="9">
      <c r="A9" s="6" t="inlineStr">
        <is>
          <t>Median</t>
        </is>
      </c>
      <c r="AB9">
        <f>MEDIAN(AB2:AB8)</f>
        <v/>
      </c>
      <c r="AC9">
        <f>MEDIAN(AC2:AC8)</f>
        <v/>
      </c>
      <c r="AD9">
        <f>MEDIAN(AD2:AD8)</f>
        <v/>
      </c>
      <c r="AE9">
        <f>MEDIAN(AE2:AE8)</f>
        <v/>
      </c>
      <c r="AF9">
        <f>MEDIAN(AF2:AF8)</f>
        <v/>
      </c>
      <c r="AG9">
        <f>MEDIAN(AG2:AG8)</f>
        <v/>
      </c>
      <c r="AH9">
        <f>MEDIAN(AH2:AH8)</f>
        <v/>
      </c>
      <c r="AI9">
        <f>MEDIAN(AI2:AI8)</f>
        <v/>
      </c>
      <c r="AJ9">
        <f>MEDIAN(AJ2:AJ8)</f>
        <v/>
      </c>
      <c r="AK9">
        <f>MEDIAN(AK2:AK8)</f>
        <v/>
      </c>
    </row>
  </sheetData>
  <autoFilter ref="A1:AK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12" customWidth="1" min="3" max="3"/>
    <col width="14" customWidth="1" min="4" max="4"/>
    <col width="6" customWidth="1" min="5" max="5"/>
    <col width="10" customWidth="1" min="6" max="6"/>
    <col width="23" customWidth="1" min="7" max="7"/>
    <col width="24" customWidth="1" min="8" max="8"/>
    <col width="22" customWidth="1" min="9" max="9"/>
    <col width="20" customWidth="1" min="10" max="10"/>
    <col width="19" customWidth="1" min="11" max="11"/>
    <col width="19" customWidth="1" min="12" max="12"/>
    <col width="19" customWidth="1" min="13" max="13"/>
    <col width="19" customWidth="1" min="14" max="14"/>
    <col width="20" customWidth="1" min="15" max="15"/>
    <col width="22" customWidth="1" min="16" max="16"/>
    <col width="24" customWidth="1" min="17" max="17"/>
    <col width="15" customWidth="1" min="18" max="18"/>
    <col width="24" customWidth="1" min="19" max="19"/>
    <col width="19" customWidth="1" min="20" max="20"/>
    <col width="23" customWidth="1" min="21" max="21"/>
    <col width="21" customWidth="1" min="22" max="22"/>
    <col width="19" customWidth="1" min="23" max="23"/>
    <col width="20" customWidth="1" min="24" max="24"/>
    <col width="19" customWidth="1" min="25" max="25"/>
    <col width="24" customWidth="1" min="26" max="26"/>
    <col width="10" customWidth="1" min="27" max="27"/>
    <col width="24" customWidth="1" min="28" max="28"/>
    <col width="24" customWidth="1" min="29" max="29"/>
    <col width="23" customWidth="1" min="30" max="30"/>
    <col width="24" customWidth="1" min="31" max="31"/>
    <col width="24" customWidth="1" min="32" max="32"/>
    <col width="24" customWidth="1" min="33" max="33"/>
    <col width="23" customWidth="1" min="34" max="34"/>
    <col width="24" customWidth="1" min="35" max="35"/>
    <col width="24" customWidth="1" min="36" max="36"/>
    <col width="24" customWidth="1" min="37" max="37"/>
  </cols>
  <sheetData>
    <row r="1">
      <c r="A1" s="1" t="inlineStr">
        <is>
          <t>id_x</t>
        </is>
      </c>
      <c r="B1" s="1" t="inlineStr">
        <is>
          <t>peer_group_name</t>
        </is>
      </c>
      <c r="C1" s="1" t="inlineStr">
        <is>
          <t>company_id</t>
        </is>
      </c>
      <c r="D1" s="1" t="inlineStr">
        <is>
          <t>is_benchmark</t>
        </is>
      </c>
      <c r="E1" s="1" t="inlineStr">
        <is>
          <t>id_y</t>
        </is>
      </c>
      <c r="F1" s="1" t="inlineStr">
        <is>
          <t>year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return_on_equity_pct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total_debt_cr</t>
        </is>
      </c>
      <c r="S1" s="1" t="inlineStr">
        <is>
          <t>cash_from_operations_cr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pat_cagr_5yr</t>
        </is>
      </c>
      <c r="W1" s="1" t="inlineStr">
        <is>
          <t>pat_cagr_5yr_flag</t>
        </is>
      </c>
      <c r="X1" s="1" t="inlineStr">
        <is>
          <t>eps_cagr_5yr</t>
        </is>
      </c>
      <c r="Y1" s="1" t="inlineStr">
        <is>
          <t>eps_cagr_5yr_flag</t>
        </is>
      </c>
      <c r="Z1" s="1" t="inlineStr">
        <is>
          <t>composite_quality_score</t>
        </is>
      </c>
      <c r="AA1" s="1" t="inlineStr">
        <is>
          <t>year_num</t>
        </is>
      </c>
      <c r="AB1" s="1" t="inlineStr">
        <is>
          <t>asset_turnover_pct_rank</t>
        </is>
      </c>
      <c r="AC1" s="1" t="inlineStr">
        <is>
          <t>debt_to_equity_pct_rank</t>
        </is>
      </c>
      <c r="AD1" s="1" t="inlineStr">
        <is>
          <t>eps_cagr_5yr_pct_rank</t>
        </is>
      </c>
      <c r="AE1" s="1" t="inlineStr">
        <is>
          <t>free_cash_flow_cr_pct_rank</t>
        </is>
      </c>
      <c r="AF1" s="1" t="inlineStr">
        <is>
          <t>interest_coverage_pct_rank</t>
        </is>
      </c>
      <c r="AG1" s="1" t="inlineStr">
        <is>
          <t>net_profit_margin_pct_pct_rank</t>
        </is>
      </c>
      <c r="AH1" s="1" t="inlineStr">
        <is>
          <t>pat_cagr_5yr_pct_rank</t>
        </is>
      </c>
      <c r="AI1" s="1" t="inlineStr">
        <is>
          <t>return_on_capital_employed_pct_pct_rank</t>
        </is>
      </c>
      <c r="AJ1" s="1" t="inlineStr">
        <is>
          <t>return_on_equity_pct_pct_rank</t>
        </is>
      </c>
      <c r="AK1" s="1" t="inlineStr">
        <is>
          <t>revenue_cagr_5yr_pct_rank</t>
        </is>
      </c>
    </row>
    <row r="2">
      <c r="A2" s="2" t="n">
        <v>10</v>
      </c>
      <c r="B2" s="2" t="inlineStr">
        <is>
          <t>IT Services</t>
        </is>
      </c>
      <c r="C2" s="2" t="inlineStr">
        <is>
          <t>TCS</t>
        </is>
      </c>
      <c r="D2" s="2" t="n">
        <v>1</v>
      </c>
      <c r="E2" s="2" t="n">
        <v>1085</v>
      </c>
      <c r="F2" s="2" t="inlineStr">
        <is>
          <t>Mar 2024</t>
        </is>
      </c>
      <c r="G2" s="2" t="n">
        <v>19.13671215020777</v>
      </c>
      <c r="H2" s="2" t="n">
        <v>26.69068839692312</v>
      </c>
      <c r="I2" s="2" t="n">
        <v>50.94431367348518</v>
      </c>
      <c r="J2" s="2" t="n">
        <v>0.0886406082507266</v>
      </c>
      <c r="K2" s="2" t="n">
        <v>87.09511568123393</v>
      </c>
      <c r="L2" s="2" t="n">
        <v>1.655940662120546</v>
      </c>
      <c r="M2" s="2" t="n">
        <v>50429</v>
      </c>
      <c r="N2" s="2" t="n">
        <v>2.528508507926756</v>
      </c>
      <c r="O2" s="2" t="n">
        <v>127</v>
      </c>
      <c r="P2" s="2" t="n">
        <v>90489</v>
      </c>
      <c r="Q2" s="2" t="n">
        <v>58</v>
      </c>
      <c r="R2" s="2" t="n">
        <v>8021</v>
      </c>
      <c r="S2" s="2" t="n">
        <v>0.9617996051975096</v>
      </c>
      <c r="T2" s="2" t="n">
        <v>9.940233894803097</v>
      </c>
      <c r="U2" s="2" t="inlineStr">
        <is>
          <t>NORMAL</t>
        </is>
      </c>
      <c r="V2" s="2" t="n">
        <v>8.596278191513962</v>
      </c>
      <c r="W2" s="2" t="inlineStr">
        <is>
          <t>NORMAL</t>
        </is>
      </c>
      <c r="X2" s="2" t="n">
        <v>9.437726796212376</v>
      </c>
      <c r="Y2" s="2" t="inlineStr">
        <is>
          <t>NORMAL</t>
        </is>
      </c>
      <c r="Z2" s="2" t="n">
        <v>0</v>
      </c>
      <c r="AA2" s="2" t="n">
        <v>2024</v>
      </c>
      <c r="AB2" s="3" t="n">
        <v>1</v>
      </c>
      <c r="AC2" s="3" t="n">
        <v>0.8</v>
      </c>
      <c r="AD2" s="4" t="n">
        <v>0.6</v>
      </c>
      <c r="AE2" s="3" t="n">
        <v>1</v>
      </c>
      <c r="AF2" s="3" t="n">
        <v>0.8</v>
      </c>
      <c r="AG2" s="3" t="n">
        <v>1</v>
      </c>
      <c r="AH2" s="4" t="n">
        <v>0.4</v>
      </c>
      <c r="AI2" s="3" t="n">
        <v>1</v>
      </c>
      <c r="AJ2" s="3" t="n">
        <v>1</v>
      </c>
      <c r="AK2" s="4" t="n">
        <v>0.4</v>
      </c>
    </row>
    <row r="3">
      <c r="A3" t="n">
        <v>11</v>
      </c>
      <c r="B3" t="inlineStr">
        <is>
          <t>IT Services</t>
        </is>
      </c>
      <c r="C3" t="inlineStr">
        <is>
          <t>INFY</t>
        </is>
      </c>
      <c r="D3" t="n">
        <v>0</v>
      </c>
      <c r="E3" t="n">
        <v>610</v>
      </c>
      <c r="F3" t="inlineStr">
        <is>
          <t>Mar 2024</t>
        </is>
      </c>
      <c r="G3" t="n">
        <v>17.08075746730006</v>
      </c>
      <c r="H3" t="n">
        <v>23.70339038198738</v>
      </c>
      <c r="I3" t="n">
        <v>29.78800671841663</v>
      </c>
      <c r="J3" t="n">
        <v>0.09486358890553361</v>
      </c>
      <c r="K3" t="n">
        <v>87.52340425531915</v>
      </c>
      <c r="L3" t="n">
        <v>1.129760329363329</v>
      </c>
      <c r="M3" t="n">
        <v>20117</v>
      </c>
      <c r="N3" t="n">
        <v>3.314244810307802</v>
      </c>
      <c r="O3" t="n">
        <v>63</v>
      </c>
      <c r="P3" t="n">
        <v>88116</v>
      </c>
      <c r="R3" t="n">
        <v>8359</v>
      </c>
      <c r="S3" t="n">
        <v>0.960454129838464</v>
      </c>
      <c r="T3" t="n">
        <v>11.99765304519795</v>
      </c>
      <c r="U3" t="inlineStr">
        <is>
          <t>NORMAL</t>
        </is>
      </c>
      <c r="V3" t="n">
        <v>10.72093275597352</v>
      </c>
      <c r="W3" t="inlineStr">
        <is>
          <t>NORMAL</t>
        </is>
      </c>
      <c r="X3" t="n">
        <v>11.42997655305706</v>
      </c>
      <c r="Y3" t="inlineStr">
        <is>
          <t>NORMAL</t>
        </is>
      </c>
      <c r="Z3" t="n">
        <v>0</v>
      </c>
      <c r="AA3" t="n">
        <v>2024</v>
      </c>
      <c r="AB3" s="4" t="n">
        <v>0.4</v>
      </c>
      <c r="AC3" s="4" t="n">
        <v>0.6</v>
      </c>
      <c r="AD3" s="3" t="n">
        <v>0.8</v>
      </c>
      <c r="AE3" s="3" t="n">
        <v>0.8</v>
      </c>
      <c r="AF3" s="3" t="n">
        <v>1</v>
      </c>
      <c r="AG3" s="3" t="n">
        <v>0.8</v>
      </c>
      <c r="AH3" s="3" t="n">
        <v>0.8</v>
      </c>
      <c r="AI3" s="3" t="n">
        <v>0.8</v>
      </c>
      <c r="AJ3" s="3" t="n">
        <v>0.8</v>
      </c>
      <c r="AK3" s="3" t="n">
        <v>0.8</v>
      </c>
    </row>
    <row r="4">
      <c r="A4" t="n">
        <v>12</v>
      </c>
      <c r="B4" t="inlineStr">
        <is>
          <t>IT Services</t>
        </is>
      </c>
      <c r="C4" t="inlineStr">
        <is>
          <t>HCLTECH</t>
        </is>
      </c>
      <c r="D4" t="n">
        <v>0</v>
      </c>
      <c r="E4" t="n">
        <v>481</v>
      </c>
      <c r="F4" t="inlineStr">
        <is>
          <t>Mar 2024</t>
        </is>
      </c>
      <c r="G4" t="n">
        <v>14.29312274253273</v>
      </c>
      <c r="H4" t="n">
        <v>22.01559415173819</v>
      </c>
      <c r="I4" t="n">
        <v>23.01393141233172</v>
      </c>
      <c r="J4" t="n">
        <v>0.08435023365512789</v>
      </c>
      <c r="K4" t="n">
        <v>46.46112115732369</v>
      </c>
      <c r="L4" t="n">
        <v>1.110165040502596</v>
      </c>
      <c r="M4" t="n">
        <v>15840</v>
      </c>
      <c r="N4" t="n">
        <v>6.012027694631208</v>
      </c>
      <c r="O4" t="n">
        <v>58</v>
      </c>
      <c r="P4" t="n">
        <v>68263</v>
      </c>
      <c r="Q4" t="n">
        <v>90</v>
      </c>
      <c r="R4" t="n">
        <v>5758</v>
      </c>
      <c r="S4" t="n">
        <v>1.428898790579249</v>
      </c>
      <c r="T4" t="n">
        <v>10.28526611684444</v>
      </c>
      <c r="U4" t="inlineStr">
        <is>
          <t>NORMAL</t>
        </is>
      </c>
      <c r="V4" t="n">
        <v>9.092660866257706</v>
      </c>
      <c r="W4" t="inlineStr">
        <is>
          <t>NORMAL</t>
        </is>
      </c>
      <c r="X4" t="n">
        <v>8.971100922578001</v>
      </c>
      <c r="Y4" t="inlineStr">
        <is>
          <t>NORMAL</t>
        </is>
      </c>
      <c r="Z4" t="n">
        <v>0</v>
      </c>
      <c r="AA4" t="n">
        <v>2024</v>
      </c>
      <c r="AB4" s="5" t="n">
        <v>0.2</v>
      </c>
      <c r="AC4" s="3" t="n">
        <v>1</v>
      </c>
      <c r="AD4" s="4" t="n">
        <v>0.4</v>
      </c>
      <c r="AE4" s="4" t="n">
        <v>0.6</v>
      </c>
      <c r="AF4" s="4" t="n">
        <v>0.6</v>
      </c>
      <c r="AG4" s="4" t="n">
        <v>0.6</v>
      </c>
      <c r="AH4" s="4" t="n">
        <v>0.6</v>
      </c>
      <c r="AI4" s="4" t="n">
        <v>0.6</v>
      </c>
      <c r="AJ4" s="4" t="n">
        <v>0.6</v>
      </c>
      <c r="AK4" s="4" t="n">
        <v>0.6</v>
      </c>
    </row>
    <row r="5">
      <c r="A5" t="n">
        <v>13</v>
      </c>
      <c r="B5" t="inlineStr">
        <is>
          <t>IT Services</t>
        </is>
      </c>
      <c r="C5" t="inlineStr">
        <is>
          <t>TECHM</t>
        </is>
      </c>
      <c r="D5" t="n">
        <v>0</v>
      </c>
      <c r="E5" t="n">
        <v>1098</v>
      </c>
      <c r="F5" t="inlineStr">
        <is>
          <t>Mar 2024</t>
        </is>
      </c>
      <c r="G5" t="n">
        <v>4.60996999769213</v>
      </c>
      <c r="H5" t="n">
        <v>8.666051234710363</v>
      </c>
      <c r="I5" t="n">
        <v>8.987963553189097</v>
      </c>
      <c r="J5" t="n">
        <v>0.09512917619708269</v>
      </c>
      <c r="K5" t="n">
        <v>13.85969387755102</v>
      </c>
      <c r="L5" t="n">
        <v>1.205033720364319</v>
      </c>
      <c r="M5" t="n">
        <v>5058</v>
      </c>
      <c r="N5" t="n">
        <v>2.534810370028464</v>
      </c>
      <c r="O5" t="n">
        <v>24</v>
      </c>
      <c r="P5" t="n">
        <v>26669</v>
      </c>
      <c r="Q5" t="n">
        <v>150</v>
      </c>
      <c r="R5" t="n">
        <v>2537</v>
      </c>
      <c r="S5" t="n">
        <v>2.659991656236963</v>
      </c>
      <c r="T5" t="n">
        <v>7.315444539565097</v>
      </c>
      <c r="U5" t="inlineStr">
        <is>
          <t>NORMAL</t>
        </is>
      </c>
      <c r="V5" t="n">
        <v>-0.6341138314815087</v>
      </c>
      <c r="W5" t="inlineStr">
        <is>
          <t>NORMAL</t>
        </is>
      </c>
      <c r="X5" t="n">
        <v>-1.981768775006343</v>
      </c>
      <c r="Y5" t="inlineStr">
        <is>
          <t>NORMAL</t>
        </is>
      </c>
      <c r="Z5" t="n">
        <v>0</v>
      </c>
      <c r="AA5" t="n">
        <v>2024</v>
      </c>
      <c r="AB5" s="4" t="n">
        <v>0.6</v>
      </c>
      <c r="AC5" s="4" t="n">
        <v>0.4</v>
      </c>
      <c r="AD5" s="5" t="n">
        <v>0.2</v>
      </c>
      <c r="AE5" s="4" t="n">
        <v>0.4</v>
      </c>
      <c r="AF5" s="5" t="n">
        <v>0.2</v>
      </c>
      <c r="AG5" s="5" t="n">
        <v>0.2</v>
      </c>
      <c r="AH5" s="5" t="n">
        <v>0.2</v>
      </c>
      <c r="AI5" s="5" t="n">
        <v>0.2</v>
      </c>
      <c r="AJ5" s="5" t="n">
        <v>0.2</v>
      </c>
      <c r="AK5" s="5" t="n">
        <v>0.2</v>
      </c>
    </row>
    <row r="6">
      <c r="A6" t="n">
        <v>14</v>
      </c>
      <c r="B6" t="inlineStr">
        <is>
          <t>IT Services</t>
        </is>
      </c>
      <c r="C6" t="inlineStr">
        <is>
          <t>LTIM</t>
        </is>
      </c>
      <c r="D6" t="n">
        <v>0</v>
      </c>
      <c r="E6" t="n">
        <v>761</v>
      </c>
      <c r="F6" t="inlineStr">
        <is>
          <t>Mar 2024</t>
        </is>
      </c>
      <c r="G6" t="n">
        <v>12.90931103415266</v>
      </c>
      <c r="H6" t="n">
        <v>17.98293774812062</v>
      </c>
      <c r="I6" t="n">
        <v>22.9043860525527</v>
      </c>
      <c r="J6" t="n">
        <v>0.1034568888000799</v>
      </c>
      <c r="K6" t="n">
        <v>31.93243243243243</v>
      </c>
      <c r="L6" t="n">
        <v>1.289464130119082</v>
      </c>
      <c r="M6" t="n">
        <v>1752</v>
      </c>
      <c r="N6" t="n">
        <v>11.03133710617451</v>
      </c>
      <c r="O6" t="n">
        <v>155</v>
      </c>
      <c r="P6" t="n">
        <v>20018</v>
      </c>
      <c r="Q6" t="n">
        <v>42</v>
      </c>
      <c r="R6" t="n">
        <v>2071</v>
      </c>
      <c r="S6" t="n">
        <v>1.236641221374046</v>
      </c>
      <c r="T6" t="n">
        <v>27.82766479805234</v>
      </c>
      <c r="U6" t="inlineStr">
        <is>
          <t>NORMAL</t>
        </is>
      </c>
      <c r="V6" t="n">
        <v>24.64949244705055</v>
      </c>
      <c r="W6" t="inlineStr">
        <is>
          <t>NORMAL</t>
        </is>
      </c>
      <c r="X6" t="n">
        <v>12.09862708179354</v>
      </c>
      <c r="Y6" t="inlineStr">
        <is>
          <t>NORMAL</t>
        </is>
      </c>
      <c r="Z6" t="n">
        <v>0</v>
      </c>
      <c r="AA6" t="n">
        <v>2024</v>
      </c>
      <c r="AB6" s="3" t="n">
        <v>0.8</v>
      </c>
      <c r="AC6" s="5" t="n">
        <v>0.2</v>
      </c>
      <c r="AD6" s="3" t="n">
        <v>1</v>
      </c>
      <c r="AE6" s="5" t="n">
        <v>0.2</v>
      </c>
      <c r="AF6" s="4" t="n">
        <v>0.4</v>
      </c>
      <c r="AG6" s="4" t="n">
        <v>0.4</v>
      </c>
      <c r="AH6" s="3" t="n">
        <v>1</v>
      </c>
      <c r="AI6" s="4" t="n">
        <v>0.4</v>
      </c>
      <c r="AJ6" s="4" t="n">
        <v>0.4</v>
      </c>
      <c r="AK6" s="3" t="n">
        <v>1</v>
      </c>
    </row>
    <row r="7">
      <c r="A7" s="6" t="inlineStr">
        <is>
          <t>Median</t>
        </is>
      </c>
      <c r="AB7">
        <f>MEDIAN(AB2:AB6)</f>
        <v/>
      </c>
      <c r="AC7">
        <f>MEDIAN(AC2:AC6)</f>
        <v/>
      </c>
      <c r="AD7">
        <f>MEDIAN(AD2:AD6)</f>
        <v/>
      </c>
      <c r="AE7">
        <f>MEDIAN(AE2:AE6)</f>
        <v/>
      </c>
      <c r="AF7">
        <f>MEDIAN(AF2:AF6)</f>
        <v/>
      </c>
      <c r="AG7">
        <f>MEDIAN(AG2:AG6)</f>
        <v/>
      </c>
      <c r="AH7">
        <f>MEDIAN(AH2:AH6)</f>
        <v/>
      </c>
      <c r="AI7">
        <f>MEDIAN(AI2:AI6)</f>
        <v/>
      </c>
      <c r="AJ7">
        <f>MEDIAN(AJ2:AJ6)</f>
        <v/>
      </c>
      <c r="AK7">
        <f>MEDIAN(AK2:AK6)</f>
        <v/>
      </c>
    </row>
  </sheetData>
  <autoFilter ref="A1:AK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12" customWidth="1" min="3" max="3"/>
    <col width="14" customWidth="1" min="4" max="4"/>
    <col width="6" customWidth="1" min="5" max="5"/>
    <col width="10" customWidth="1" min="6" max="6"/>
    <col width="23" customWidth="1" min="7" max="7"/>
    <col width="24" customWidth="1" min="8" max="8"/>
    <col width="22" customWidth="1" min="9" max="9"/>
    <col width="20" customWidth="1" min="10" max="10"/>
    <col width="19" customWidth="1" min="11" max="11"/>
    <col width="20" customWidth="1" min="12" max="12"/>
    <col width="19" customWidth="1" min="13" max="13"/>
    <col width="19" customWidth="1" min="14" max="14"/>
    <col width="20" customWidth="1" min="15" max="15"/>
    <col width="22" customWidth="1" min="16" max="16"/>
    <col width="24" customWidth="1" min="17" max="17"/>
    <col width="15" customWidth="1" min="18" max="18"/>
    <col width="24" customWidth="1" min="19" max="19"/>
    <col width="19" customWidth="1" min="20" max="20"/>
    <col width="23" customWidth="1" min="21" max="21"/>
    <col width="20" customWidth="1" min="22" max="22"/>
    <col width="19" customWidth="1" min="23" max="23"/>
    <col width="19" customWidth="1" min="24" max="24"/>
    <col width="19" customWidth="1" min="25" max="25"/>
    <col width="24" customWidth="1" min="26" max="26"/>
    <col width="10" customWidth="1" min="27" max="27"/>
    <col width="24" customWidth="1" min="28" max="28"/>
    <col width="24" customWidth="1" min="29" max="29"/>
    <col width="23" customWidth="1" min="30" max="30"/>
    <col width="24" customWidth="1" min="31" max="31"/>
    <col width="24" customWidth="1" min="32" max="32"/>
    <col width="24" customWidth="1" min="33" max="33"/>
    <col width="23" customWidth="1" min="34" max="34"/>
    <col width="24" customWidth="1" min="35" max="35"/>
    <col width="24" customWidth="1" min="36" max="36"/>
    <col width="24" customWidth="1" min="37" max="37"/>
  </cols>
  <sheetData>
    <row r="1">
      <c r="A1" s="1" t="inlineStr">
        <is>
          <t>id_x</t>
        </is>
      </c>
      <c r="B1" s="1" t="inlineStr">
        <is>
          <t>peer_group_name</t>
        </is>
      </c>
      <c r="C1" s="1" t="inlineStr">
        <is>
          <t>company_id</t>
        </is>
      </c>
      <c r="D1" s="1" t="inlineStr">
        <is>
          <t>is_benchmark</t>
        </is>
      </c>
      <c r="E1" s="1" t="inlineStr">
        <is>
          <t>id_y</t>
        </is>
      </c>
      <c r="F1" s="1" t="inlineStr">
        <is>
          <t>year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return_on_equity_pct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total_debt_cr</t>
        </is>
      </c>
      <c r="S1" s="1" t="inlineStr">
        <is>
          <t>cash_from_operations_cr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pat_cagr_5yr</t>
        </is>
      </c>
      <c r="W1" s="1" t="inlineStr">
        <is>
          <t>pat_cagr_5yr_flag</t>
        </is>
      </c>
      <c r="X1" s="1" t="inlineStr">
        <is>
          <t>eps_cagr_5yr</t>
        </is>
      </c>
      <c r="Y1" s="1" t="inlineStr">
        <is>
          <t>eps_cagr_5yr_flag</t>
        </is>
      </c>
      <c r="Z1" s="1" t="inlineStr">
        <is>
          <t>composite_quality_score</t>
        </is>
      </c>
      <c r="AA1" s="1" t="inlineStr">
        <is>
          <t>year_num</t>
        </is>
      </c>
      <c r="AB1" s="1" t="inlineStr">
        <is>
          <t>asset_turnover_pct_rank</t>
        </is>
      </c>
      <c r="AC1" s="1" t="inlineStr">
        <is>
          <t>debt_to_equity_pct_rank</t>
        </is>
      </c>
      <c r="AD1" s="1" t="inlineStr">
        <is>
          <t>eps_cagr_5yr_pct_rank</t>
        </is>
      </c>
      <c r="AE1" s="1" t="inlineStr">
        <is>
          <t>free_cash_flow_cr_pct_rank</t>
        </is>
      </c>
      <c r="AF1" s="1" t="inlineStr">
        <is>
          <t>interest_coverage_pct_rank</t>
        </is>
      </c>
      <c r="AG1" s="1" t="inlineStr">
        <is>
          <t>net_profit_margin_pct_pct_rank</t>
        </is>
      </c>
      <c r="AH1" s="1" t="inlineStr">
        <is>
          <t>pat_cagr_5yr_pct_rank</t>
        </is>
      </c>
      <c r="AI1" s="1" t="inlineStr">
        <is>
          <t>return_on_capital_employed_pct_pct_rank</t>
        </is>
      </c>
      <c r="AJ1" s="1" t="inlineStr">
        <is>
          <t>return_on_equity_pct_pct_rank</t>
        </is>
      </c>
      <c r="AK1" s="1" t="inlineStr">
        <is>
          <t>revenue_cagr_5yr_pct_rank</t>
        </is>
      </c>
    </row>
    <row r="2">
      <c r="A2" s="2" t="n">
        <v>27</v>
      </c>
      <c r="B2" s="2" t="inlineStr">
        <is>
          <t>Life Insurance</t>
        </is>
      </c>
      <c r="C2" s="2" t="inlineStr">
        <is>
          <t>LICI</t>
        </is>
      </c>
      <c r="D2" s="2" t="n">
        <v>1</v>
      </c>
      <c r="E2" s="2" t="n">
        <v>722</v>
      </c>
      <c r="F2" s="2" t="inlineStr">
        <is>
          <t>Mar 2024</t>
        </is>
      </c>
      <c r="G2" s="2" t="n">
        <v>4.836600998148862</v>
      </c>
      <c r="H2" s="2" t="n">
        <v>3.87474201090824</v>
      </c>
      <c r="I2" s="2" t="n">
        <v>49.44710986501021</v>
      </c>
      <c r="J2" s="2" t="n">
        <v>0</v>
      </c>
      <c r="K2" s="2" t="n">
        <v>371.9375</v>
      </c>
      <c r="L2" s="2" t="n">
        <v>0.1591344094587576</v>
      </c>
      <c r="M2" s="2" t="n">
        <v>853</v>
      </c>
      <c r="N2" s="2" t="n">
        <v>2.986999477520373</v>
      </c>
      <c r="O2" s="2" t="n">
        <v>66</v>
      </c>
      <c r="P2" s="2" t="n">
        <v>82747</v>
      </c>
      <c r="Q2" s="2" t="n">
        <v>15</v>
      </c>
      <c r="R2" s="2" t="n">
        <v>0</v>
      </c>
      <c r="S2" s="2" t="n">
        <v>0.6384299540522045</v>
      </c>
      <c r="T2" s="2" t="n">
        <v>7.36778684360031</v>
      </c>
      <c r="U2" s="2" t="inlineStr">
        <is>
          <t>NORMAL</t>
        </is>
      </c>
      <c r="V2" s="2" t="n">
        <v>72.56342811464233</v>
      </c>
      <c r="W2" s="2" t="inlineStr">
        <is>
          <t>NORMAL</t>
        </is>
      </c>
      <c r="X2" s="2" t="inlineStr"/>
      <c r="Y2" s="2" t="inlineStr">
        <is>
          <t>UNKNOWN</t>
        </is>
      </c>
      <c r="Z2" s="2" t="n">
        <v>0</v>
      </c>
      <c r="AA2" s="2" t="n">
        <v>2024</v>
      </c>
      <c r="AB2" s="5" t="n">
        <v>0.25</v>
      </c>
      <c r="AC2" s="3" t="n">
        <v>1</v>
      </c>
      <c r="AD2" s="2" t="inlineStr"/>
      <c r="AE2" s="3" t="n">
        <v>1</v>
      </c>
      <c r="AF2" s="3" t="n">
        <v>1</v>
      </c>
      <c r="AG2" s="3" t="n">
        <v>1</v>
      </c>
      <c r="AH2" s="3" t="n">
        <v>1</v>
      </c>
      <c r="AI2" s="4" t="n">
        <v>0.5</v>
      </c>
      <c r="AJ2" s="3" t="n">
        <v>1</v>
      </c>
      <c r="AK2" s="5" t="n">
        <v>0.25</v>
      </c>
    </row>
    <row r="3">
      <c r="A3" t="n">
        <v>28</v>
      </c>
      <c r="B3" t="inlineStr">
        <is>
          <t>Life Insurance</t>
        </is>
      </c>
      <c r="C3" t="inlineStr">
        <is>
          <t>HDFCLIFE</t>
        </is>
      </c>
      <c r="D3" t="n">
        <v>0</v>
      </c>
      <c r="E3" t="n">
        <v>507</v>
      </c>
      <c r="F3" t="inlineStr">
        <is>
          <t>Mar 2024</t>
        </is>
      </c>
      <c r="G3" t="n">
        <v>1.551013972921306</v>
      </c>
      <c r="H3" t="n">
        <v>99.47675449833469</v>
      </c>
      <c r="I3" t="n">
        <v>10.73230601390972</v>
      </c>
      <c r="J3" t="n">
        <v>0.0647756716214373</v>
      </c>
      <c r="K3" t="n">
        <v>192.2895238095238</v>
      </c>
      <c r="L3" t="n">
        <v>0.3352704278677313</v>
      </c>
      <c r="M3" t="n">
        <v>-2893</v>
      </c>
      <c r="N3" t="n">
        <v>13.41518692970182</v>
      </c>
      <c r="O3" t="n">
        <v>7</v>
      </c>
      <c r="P3" t="n">
        <v>14666</v>
      </c>
      <c r="Q3" t="n">
        <v>27</v>
      </c>
      <c r="R3" t="n">
        <v>950</v>
      </c>
      <c r="S3" t="n">
        <v>6.81130876747141</v>
      </c>
      <c r="T3" t="n">
        <v>27.95510493418952</v>
      </c>
      <c r="U3" t="inlineStr">
        <is>
          <t>NORMAL</t>
        </is>
      </c>
      <c r="V3" t="n">
        <v>6.13792325874003</v>
      </c>
      <c r="W3" t="inlineStr">
        <is>
          <t>NORMAL</t>
        </is>
      </c>
      <c r="X3" t="n">
        <v>5.922384104881218</v>
      </c>
      <c r="Y3" t="inlineStr">
        <is>
          <t>NORMAL</t>
        </is>
      </c>
      <c r="Z3" t="n">
        <v>0</v>
      </c>
      <c r="AA3" t="n">
        <v>2024</v>
      </c>
      <c r="AB3" s="3" t="n">
        <v>1</v>
      </c>
      <c r="AC3" s="4" t="n">
        <v>0.5</v>
      </c>
      <c r="AD3" s="4" t="n">
        <v>0.6667</v>
      </c>
      <c r="AE3" s="5" t="n">
        <v>0.25</v>
      </c>
      <c r="AF3" s="4" t="n">
        <v>0.5</v>
      </c>
      <c r="AG3" s="3" t="n">
        <v>0.75</v>
      </c>
      <c r="AH3" s="4" t="n">
        <v>0.5</v>
      </c>
      <c r="AI3" s="3" t="n">
        <v>0.75</v>
      </c>
      <c r="AJ3" s="4" t="n">
        <v>0.5</v>
      </c>
      <c r="AK3" s="3" t="n">
        <v>0.75</v>
      </c>
    </row>
    <row r="4">
      <c r="A4" t="n">
        <v>29</v>
      </c>
      <c r="B4" t="inlineStr">
        <is>
          <t>Life Insurance</t>
        </is>
      </c>
      <c r="C4" t="inlineStr">
        <is>
          <t>SBILIFE</t>
        </is>
      </c>
      <c r="D4" t="n">
        <v>0</v>
      </c>
      <c r="E4" t="n">
        <v>956</v>
      </c>
      <c r="F4" t="inlineStr">
        <is>
          <t>Mar 2024</t>
        </is>
      </c>
      <c r="G4" t="n">
        <v>1.434978937479165</v>
      </c>
      <c r="H4" t="n">
        <v>0.186380580052732</v>
      </c>
      <c r="I4" t="n">
        <v>12.70458814059566</v>
      </c>
      <c r="J4" t="n">
        <v>0</v>
      </c>
      <c r="K4" t="n">
        <v>240.3333333333333</v>
      </c>
      <c r="L4" t="n">
        <v>0.3313791900054983</v>
      </c>
      <c r="M4" t="n">
        <v>-2099</v>
      </c>
      <c r="N4" t="n">
        <v>23.6544231293754</v>
      </c>
      <c r="O4" t="n">
        <v>19</v>
      </c>
      <c r="P4" t="n">
        <v>14908</v>
      </c>
      <c r="Q4" t="n">
        <v>14</v>
      </c>
      <c r="R4" t="n">
        <v>0</v>
      </c>
      <c r="S4" t="n">
        <v>15.37592397043295</v>
      </c>
      <c r="T4" t="n">
        <v>24.32159563053116</v>
      </c>
      <c r="U4" t="inlineStr">
        <is>
          <t>NORMAL</t>
        </is>
      </c>
      <c r="V4" t="n">
        <v>11.13721838953798</v>
      </c>
      <c r="W4" t="inlineStr">
        <is>
          <t>NORMAL</t>
        </is>
      </c>
      <c r="X4" t="n">
        <v>11.38241786028791</v>
      </c>
      <c r="Y4" t="inlineStr">
        <is>
          <t>NORMAL</t>
        </is>
      </c>
      <c r="Z4" t="n">
        <v>0</v>
      </c>
      <c r="AA4" t="n">
        <v>2024</v>
      </c>
      <c r="AB4" s="3" t="n">
        <v>0.75</v>
      </c>
      <c r="AC4" s="3" t="n">
        <v>1</v>
      </c>
      <c r="AD4" s="3" t="n">
        <v>1</v>
      </c>
      <c r="AE4" s="4" t="n">
        <v>0.5</v>
      </c>
      <c r="AF4" s="3" t="n">
        <v>0.75</v>
      </c>
      <c r="AG4" s="4" t="n">
        <v>0.5</v>
      </c>
      <c r="AH4" s="3" t="n">
        <v>0.75</v>
      </c>
      <c r="AI4" s="5" t="n">
        <v>0.25</v>
      </c>
      <c r="AJ4" s="3" t="n">
        <v>0.75</v>
      </c>
      <c r="AK4" s="4" t="n">
        <v>0.5</v>
      </c>
    </row>
    <row r="5">
      <c r="A5" t="n">
        <v>30</v>
      </c>
      <c r="B5" t="inlineStr">
        <is>
          <t>Life Insurance</t>
        </is>
      </c>
      <c r="C5" t="inlineStr">
        <is>
          <t>ICICIPRULI</t>
        </is>
      </c>
      <c r="D5" t="n">
        <v>0</v>
      </c>
      <c r="E5" t="n">
        <v>584</v>
      </c>
      <c r="F5" t="inlineStr">
        <is>
          <t>Mar 2024</t>
        </is>
      </c>
      <c r="G5" t="n">
        <v>0.942341125272681</v>
      </c>
      <c r="H5" t="n">
        <v>102.0253136523193</v>
      </c>
      <c r="I5" t="n">
        <v>7.732848705134029</v>
      </c>
      <c r="J5" t="n">
        <v>0.109041344843253</v>
      </c>
      <c r="K5" t="n">
        <v>31.02154882154882</v>
      </c>
      <c r="L5" t="n">
        <v>0.3020290902037117</v>
      </c>
      <c r="M5" t="n">
        <v>105</v>
      </c>
      <c r="N5" t="n">
        <v>8.216417331989769</v>
      </c>
      <c r="O5" t="n">
        <v>6</v>
      </c>
      <c r="P5" t="n">
        <v>11005</v>
      </c>
      <c r="Q5" t="n">
        <v>10</v>
      </c>
      <c r="R5" t="n">
        <v>1200</v>
      </c>
      <c r="S5" t="n">
        <v>-8.595769682726205</v>
      </c>
      <c r="T5" t="n">
        <v>29.83560227380344</v>
      </c>
      <c r="U5" t="inlineStr">
        <is>
          <t>NORMAL</t>
        </is>
      </c>
      <c r="V5" t="n">
        <v>-1.807366580069902</v>
      </c>
      <c r="W5" t="inlineStr">
        <is>
          <t>NORMAL</t>
        </is>
      </c>
      <c r="X5" t="n">
        <v>0</v>
      </c>
      <c r="Y5" t="inlineStr">
        <is>
          <t>NORMAL</t>
        </is>
      </c>
      <c r="Z5" t="n">
        <v>0</v>
      </c>
      <c r="AA5" t="n">
        <v>2024</v>
      </c>
      <c r="AB5" s="4" t="n">
        <v>0.5</v>
      </c>
      <c r="AC5" s="5" t="n">
        <v>0.25</v>
      </c>
      <c r="AD5" s="4" t="n">
        <v>0.3333</v>
      </c>
      <c r="AE5" s="3" t="n">
        <v>0.75</v>
      </c>
      <c r="AF5" s="5" t="n">
        <v>0.25</v>
      </c>
      <c r="AG5" s="5" t="n">
        <v>0.25</v>
      </c>
      <c r="AH5" s="5" t="n">
        <v>0.25</v>
      </c>
      <c r="AI5" s="3" t="n">
        <v>1</v>
      </c>
      <c r="AJ5" s="5" t="n">
        <v>0.25</v>
      </c>
      <c r="AK5" s="3" t="n">
        <v>1</v>
      </c>
    </row>
    <row r="6">
      <c r="A6" s="6" t="inlineStr">
        <is>
          <t>Median</t>
        </is>
      </c>
      <c r="AB6">
        <f>MEDIAN(AB2:AB5)</f>
        <v/>
      </c>
      <c r="AC6">
        <f>MEDIAN(AC2:AC5)</f>
        <v/>
      </c>
      <c r="AD6">
        <f>MEDIAN(AD2:AD5)</f>
        <v/>
      </c>
      <c r="AE6">
        <f>MEDIAN(AE2:AE5)</f>
        <v/>
      </c>
      <c r="AF6">
        <f>MEDIAN(AF2:AF5)</f>
        <v/>
      </c>
      <c r="AG6">
        <f>MEDIAN(AG2:AG5)</f>
        <v/>
      </c>
      <c r="AH6">
        <f>MEDIAN(AH2:AH5)</f>
        <v/>
      </c>
      <c r="AI6">
        <f>MEDIAN(AI2:AI5)</f>
        <v/>
      </c>
      <c r="AJ6">
        <f>MEDIAN(AJ2:AJ5)</f>
        <v/>
      </c>
      <c r="AK6">
        <f>MEDIAN(AK2:AK5)</f>
        <v/>
      </c>
    </row>
  </sheetData>
  <autoFilter ref="A1:A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12" customWidth="1" min="3" max="3"/>
    <col width="14" customWidth="1" min="4" max="4"/>
    <col width="6" customWidth="1" min="5" max="5"/>
    <col width="10" customWidth="1" min="6" max="6"/>
    <col width="23" customWidth="1" min="7" max="7"/>
    <col width="24" customWidth="1" min="8" max="8"/>
    <col width="22" customWidth="1" min="9" max="9"/>
    <col width="20" customWidth="1" min="10" max="10"/>
    <col width="19" customWidth="1" min="11" max="11"/>
    <col width="20" customWidth="1" min="12" max="12"/>
    <col width="19" customWidth="1" min="13" max="13"/>
    <col width="19" customWidth="1" min="14" max="14"/>
    <col width="20" customWidth="1" min="15" max="15"/>
    <col width="22" customWidth="1" min="16" max="16"/>
    <col width="24" customWidth="1" min="17" max="17"/>
    <col width="15" customWidth="1" min="18" max="18"/>
    <col width="24" customWidth="1" min="19" max="19"/>
    <col width="19" customWidth="1" min="20" max="20"/>
    <col width="23" customWidth="1" min="21" max="21"/>
    <col width="19" customWidth="1" min="22" max="22"/>
    <col width="19" customWidth="1" min="23" max="23"/>
    <col width="19" customWidth="1" min="24" max="24"/>
    <col width="19" customWidth="1" min="25" max="25"/>
    <col width="24" customWidth="1" min="26" max="26"/>
    <col width="10" customWidth="1" min="27" max="27"/>
    <col width="24" customWidth="1" min="28" max="28"/>
    <col width="24" customWidth="1" min="29" max="29"/>
    <col width="23" customWidth="1" min="30" max="30"/>
    <col width="24" customWidth="1" min="31" max="31"/>
    <col width="24" customWidth="1" min="32" max="32"/>
    <col width="24" customWidth="1" min="33" max="33"/>
    <col width="23" customWidth="1" min="34" max="34"/>
    <col width="24" customWidth="1" min="35" max="35"/>
    <col width="24" customWidth="1" min="36" max="36"/>
    <col width="24" customWidth="1" min="37" max="37"/>
  </cols>
  <sheetData>
    <row r="1">
      <c r="A1" s="1" t="inlineStr">
        <is>
          <t>id_x</t>
        </is>
      </c>
      <c r="B1" s="1" t="inlineStr">
        <is>
          <t>peer_group_name</t>
        </is>
      </c>
      <c r="C1" s="1" t="inlineStr">
        <is>
          <t>company_id</t>
        </is>
      </c>
      <c r="D1" s="1" t="inlineStr">
        <is>
          <t>is_benchmark</t>
        </is>
      </c>
      <c r="E1" s="1" t="inlineStr">
        <is>
          <t>id_y</t>
        </is>
      </c>
      <c r="F1" s="1" t="inlineStr">
        <is>
          <t>year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return_on_equity_pct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total_debt_cr</t>
        </is>
      </c>
      <c r="S1" s="1" t="inlineStr">
        <is>
          <t>cash_from_operations_cr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pat_cagr_5yr</t>
        </is>
      </c>
      <c r="W1" s="1" t="inlineStr">
        <is>
          <t>pat_cagr_5yr_flag</t>
        </is>
      </c>
      <c r="X1" s="1" t="inlineStr">
        <is>
          <t>eps_cagr_5yr</t>
        </is>
      </c>
      <c r="Y1" s="1" t="inlineStr">
        <is>
          <t>eps_cagr_5yr_flag</t>
        </is>
      </c>
      <c r="Z1" s="1" t="inlineStr">
        <is>
          <t>composite_quality_score</t>
        </is>
      </c>
      <c r="AA1" s="1" t="inlineStr">
        <is>
          <t>year_num</t>
        </is>
      </c>
      <c r="AB1" s="1" t="inlineStr">
        <is>
          <t>asset_turnover_pct_rank</t>
        </is>
      </c>
      <c r="AC1" s="1" t="inlineStr">
        <is>
          <t>debt_to_equity_pct_rank</t>
        </is>
      </c>
      <c r="AD1" s="1" t="inlineStr">
        <is>
          <t>eps_cagr_5yr_pct_rank</t>
        </is>
      </c>
      <c r="AE1" s="1" t="inlineStr">
        <is>
          <t>free_cash_flow_cr_pct_rank</t>
        </is>
      </c>
      <c r="AF1" s="1" t="inlineStr">
        <is>
          <t>interest_coverage_pct_rank</t>
        </is>
      </c>
      <c r="AG1" s="1" t="inlineStr">
        <is>
          <t>net_profit_margin_pct_pct_rank</t>
        </is>
      </c>
      <c r="AH1" s="1" t="inlineStr">
        <is>
          <t>pat_cagr_5yr_pct_rank</t>
        </is>
      </c>
      <c r="AI1" s="1" t="inlineStr">
        <is>
          <t>return_on_capital_employed_pct_pct_rank</t>
        </is>
      </c>
      <c r="AJ1" s="1" t="inlineStr">
        <is>
          <t>return_on_equity_pct_pct_rank</t>
        </is>
      </c>
      <c r="AK1" s="1" t="inlineStr">
        <is>
          <t>revenue_cagr_5yr_pct_rank</t>
        </is>
      </c>
    </row>
    <row r="2">
      <c r="A2" s="2" t="n">
        <v>31</v>
      </c>
      <c r="B2" s="2" t="inlineStr">
        <is>
          <t>Oil &amp; Gas</t>
        </is>
      </c>
      <c r="C2" s="2" t="inlineStr">
        <is>
          <t>RELIANCE</t>
        </is>
      </c>
      <c r="D2" s="2" t="n">
        <v>1</v>
      </c>
      <c r="E2" s="2" t="n">
        <v>943</v>
      </c>
      <c r="F2" s="2" t="inlineStr">
        <is>
          <t>Mar 2024</t>
        </is>
      </c>
      <c r="G2" s="2" t="n">
        <v>8.789365557299389</v>
      </c>
      <c r="H2" s="2" t="n">
        <v>18.07459281612296</v>
      </c>
      <c r="I2" s="2" t="n">
        <v>9.958650553699458</v>
      </c>
      <c r="J2" s="2" t="n">
        <v>0.5784524141094746</v>
      </c>
      <c r="K2" s="2" t="n">
        <v>7.728912535686478</v>
      </c>
      <c r="L2" s="2" t="n">
        <v>0.5122600635424216</v>
      </c>
      <c r="M2" s="2" t="n">
        <v>45207</v>
      </c>
      <c r="N2" s="2" t="n">
        <v>12.63357288488512</v>
      </c>
      <c r="O2" s="2" t="n">
        <v>51</v>
      </c>
      <c r="P2" s="2" t="n">
        <v>793481</v>
      </c>
      <c r="Q2" s="2" t="n">
        <v>10</v>
      </c>
      <c r="R2" s="2" t="n">
        <v>458991</v>
      </c>
      <c r="S2" s="2" t="n">
        <v>2.00946595798532</v>
      </c>
      <c r="T2" s="2" t="n">
        <v>9.51218634832891</v>
      </c>
      <c r="U2" s="2" t="inlineStr">
        <is>
          <t>NORMAL</t>
        </is>
      </c>
      <c r="V2" s="2" t="n">
        <v>14.92192324546502</v>
      </c>
      <c r="W2" s="2" t="inlineStr">
        <is>
          <t>NORMAL</t>
        </is>
      </c>
      <c r="X2" s="2" t="n">
        <v>11.95266483252204</v>
      </c>
      <c r="Y2" s="2" t="inlineStr">
        <is>
          <t>NORMAL</t>
        </is>
      </c>
      <c r="Z2" s="2" t="n">
        <v>0</v>
      </c>
      <c r="AA2" s="2" t="n">
        <v>2024</v>
      </c>
      <c r="AB2" s="5" t="n">
        <v>0.2</v>
      </c>
      <c r="AC2" s="4" t="n">
        <v>0.6</v>
      </c>
      <c r="AD2" s="4" t="n">
        <v>0.5</v>
      </c>
      <c r="AE2" s="3" t="n">
        <v>1</v>
      </c>
      <c r="AF2" s="5" t="n">
        <v>0.2</v>
      </c>
      <c r="AG2" s="3" t="n">
        <v>0.8</v>
      </c>
      <c r="AH2" s="4" t="n">
        <v>0.5</v>
      </c>
      <c r="AI2" s="5" t="n">
        <v>0.2</v>
      </c>
      <c r="AJ2" s="5" t="n">
        <v>0.2</v>
      </c>
      <c r="AK2" s="4" t="n">
        <v>0.6</v>
      </c>
    </row>
    <row r="3">
      <c r="A3" t="n">
        <v>32</v>
      </c>
      <c r="B3" t="inlineStr">
        <is>
          <t>Oil &amp; Gas</t>
        </is>
      </c>
      <c r="C3" t="inlineStr">
        <is>
          <t>ONGC</t>
        </is>
      </c>
      <c r="D3" t="n">
        <v>0</v>
      </c>
      <c r="E3" t="n">
        <v>865</v>
      </c>
      <c r="F3" t="inlineStr">
        <is>
          <t>Mar 2024</t>
        </is>
      </c>
      <c r="G3" t="n">
        <v>9.655290194725699</v>
      </c>
      <c r="H3" t="n">
        <v>17.38851801500179</v>
      </c>
      <c r="I3" t="n">
        <v>16.94039813688551</v>
      </c>
      <c r="J3" t="n">
        <v>0.4544486308481917</v>
      </c>
      <c r="K3" t="n">
        <v>11.361290955464</v>
      </c>
      <c r="L3" t="n">
        <v>0.8332173339682772</v>
      </c>
      <c r="M3" t="n">
        <v>42060</v>
      </c>
      <c r="N3" t="n">
        <v>9.672537521390066</v>
      </c>
      <c r="O3" t="n">
        <v>39</v>
      </c>
      <c r="P3" t="n">
        <v>337070</v>
      </c>
      <c r="Q3" t="n">
        <v>31</v>
      </c>
      <c r="R3" t="n">
        <v>153181</v>
      </c>
      <c r="S3" t="n">
        <v>1.738375860317683</v>
      </c>
      <c r="T3" t="n">
        <v>10.67210514000441</v>
      </c>
      <c r="U3" t="inlineStr">
        <is>
          <t>NORMAL</t>
        </is>
      </c>
      <c r="V3" t="n">
        <v>29.86811317565097</v>
      </c>
      <c r="W3" t="inlineStr">
        <is>
          <t>NORMAL</t>
        </is>
      </c>
      <c r="X3" t="n">
        <v>29.67441161096582</v>
      </c>
      <c r="Y3" t="inlineStr">
        <is>
          <t>NORMAL</t>
        </is>
      </c>
      <c r="Z3" t="n">
        <v>0</v>
      </c>
      <c r="AA3" t="n">
        <v>2024</v>
      </c>
      <c r="AB3" s="4" t="n">
        <v>0.4</v>
      </c>
      <c r="AC3" s="3" t="n">
        <v>0.8</v>
      </c>
      <c r="AD3" s="3" t="n">
        <v>0.75</v>
      </c>
      <c r="AE3" s="3" t="n">
        <v>0.8</v>
      </c>
      <c r="AF3" s="3" t="n">
        <v>0.8</v>
      </c>
      <c r="AG3" s="3" t="n">
        <v>1</v>
      </c>
      <c r="AH3" s="3" t="n">
        <v>0.75</v>
      </c>
      <c r="AI3" s="4" t="n">
        <v>0.6</v>
      </c>
      <c r="AJ3" s="4" t="n">
        <v>0.6</v>
      </c>
      <c r="AK3" s="3" t="n">
        <v>0.8</v>
      </c>
    </row>
    <row r="4">
      <c r="A4" t="n">
        <v>33</v>
      </c>
      <c r="B4" t="inlineStr">
        <is>
          <t>Oil &amp; Gas</t>
        </is>
      </c>
      <c r="C4" t="inlineStr">
        <is>
          <t>BPCL</t>
        </is>
      </c>
      <c r="D4" t="n">
        <v>0</v>
      </c>
      <c r="E4" t="n">
        <v>260</v>
      </c>
      <c r="F4" t="inlineStr">
        <is>
          <t>Mar 2024</t>
        </is>
      </c>
      <c r="G4" t="n">
        <v>5.994201967046283</v>
      </c>
      <c r="H4" t="n">
        <v>9.83790949444634</v>
      </c>
      <c r="I4" t="n">
        <v>35.51133734382231</v>
      </c>
      <c r="J4" t="n">
        <v>0.7218747934157467</v>
      </c>
      <c r="K4" t="n">
        <v>11.35550735116896</v>
      </c>
      <c r="L4" t="n">
        <v>2.213651947949293</v>
      </c>
      <c r="M4" t="n">
        <v>25415</v>
      </c>
      <c r="N4" t="n">
        <v>2.348002490609999</v>
      </c>
      <c r="O4" t="n">
        <v>62</v>
      </c>
      <c r="P4" t="n">
        <v>75635</v>
      </c>
      <c r="Q4" t="n">
        <v>33</v>
      </c>
      <c r="R4" t="n">
        <v>54599</v>
      </c>
      <c r="S4" t="n">
        <v>1.337950035369894</v>
      </c>
      <c r="T4" t="n">
        <v>9.38324373395365</v>
      </c>
      <c r="U4" t="inlineStr">
        <is>
          <t>NORMAL</t>
        </is>
      </c>
      <c r="V4" t="n">
        <v>30.23296148531766</v>
      </c>
      <c r="W4" t="inlineStr">
        <is>
          <t>NORMAL</t>
        </is>
      </c>
      <c r="X4" t="n">
        <v>35.52218268009619</v>
      </c>
      <c r="Y4" t="inlineStr">
        <is>
          <t>NORMAL</t>
        </is>
      </c>
      <c r="Z4" t="n">
        <v>0</v>
      </c>
      <c r="AA4" t="n">
        <v>2024</v>
      </c>
      <c r="AB4" s="3" t="n">
        <v>1</v>
      </c>
      <c r="AC4" s="4" t="n">
        <v>0.4</v>
      </c>
      <c r="AD4" s="3" t="n">
        <v>1</v>
      </c>
      <c r="AE4" s="4" t="n">
        <v>0.4</v>
      </c>
      <c r="AF4" s="4" t="n">
        <v>0.6</v>
      </c>
      <c r="AG4" s="4" t="n">
        <v>0.4</v>
      </c>
      <c r="AH4" s="3" t="n">
        <v>1</v>
      </c>
      <c r="AI4" s="3" t="n">
        <v>1</v>
      </c>
      <c r="AJ4" s="3" t="n">
        <v>1</v>
      </c>
      <c r="AK4" s="5" t="n">
        <v>0.2</v>
      </c>
    </row>
    <row r="5">
      <c r="A5" t="n">
        <v>34</v>
      </c>
      <c r="B5" t="inlineStr">
        <is>
          <t>Oil &amp; Gas</t>
        </is>
      </c>
      <c r="C5" t="inlineStr">
        <is>
          <t>IOC</t>
        </is>
      </c>
      <c r="D5" t="n">
        <v>0</v>
      </c>
      <c r="E5" t="n">
        <v>623</v>
      </c>
      <c r="F5" t="inlineStr">
        <is>
          <t>Mar 2024</t>
        </is>
      </c>
      <c r="G5" t="n">
        <v>5.559462717942377</v>
      </c>
      <c r="H5" t="n">
        <v>9.743776019125344</v>
      </c>
      <c r="I5" t="n">
        <v>23.53162465856491</v>
      </c>
      <c r="J5" t="n">
        <v>0.7230954600718581</v>
      </c>
      <c r="K5" t="n">
        <v>10.28232457809923</v>
      </c>
      <c r="L5" t="n">
        <v>1.60840966017034</v>
      </c>
      <c r="M5" t="n">
        <v>39635</v>
      </c>
      <c r="N5" t="n">
        <v>4.052800791393595</v>
      </c>
      <c r="O5" t="n">
        <v>30</v>
      </c>
      <c r="P5" t="n">
        <v>183417</v>
      </c>
      <c r="Q5" t="n">
        <v>40</v>
      </c>
      <c r="R5" t="n">
        <v>132628</v>
      </c>
      <c r="S5" t="n">
        <v>1.647297328606844</v>
      </c>
      <c r="T5" t="n">
        <v>9.497887556591266</v>
      </c>
      <c r="U5" t="inlineStr">
        <is>
          <t>NORMAL</t>
        </is>
      </c>
      <c r="W5" t="inlineStr">
        <is>
          <t>TURNAROUND</t>
        </is>
      </c>
      <c r="Y5" t="inlineStr">
        <is>
          <t>TURNAROUND</t>
        </is>
      </c>
      <c r="Z5" t="n">
        <v>0</v>
      </c>
      <c r="AA5" t="n">
        <v>2024</v>
      </c>
      <c r="AB5" s="3" t="n">
        <v>0.8</v>
      </c>
      <c r="AC5" s="5" t="n">
        <v>0.2</v>
      </c>
      <c r="AE5" s="4" t="n">
        <v>0.6</v>
      </c>
      <c r="AF5" s="4" t="n">
        <v>0.4</v>
      </c>
      <c r="AG5" s="5" t="n">
        <v>0.2</v>
      </c>
      <c r="AI5" s="3" t="n">
        <v>0.8</v>
      </c>
      <c r="AJ5" s="3" t="n">
        <v>0.8</v>
      </c>
      <c r="AK5" s="4" t="n">
        <v>0.4</v>
      </c>
    </row>
    <row r="6">
      <c r="A6" t="n">
        <v>35</v>
      </c>
      <c r="B6" t="inlineStr">
        <is>
          <t>Oil &amp; Gas</t>
        </is>
      </c>
      <c r="C6" t="inlineStr">
        <is>
          <t>GAIL</t>
        </is>
      </c>
      <c r="D6" t="n">
        <v>0</v>
      </c>
      <c r="E6" t="n">
        <v>416</v>
      </c>
      <c r="F6" t="inlineStr">
        <is>
          <t>Mar 2024</t>
        </is>
      </c>
      <c r="G6" t="n">
        <v>7.433122166511544</v>
      </c>
      <c r="H6" t="n">
        <v>10.74398775032275</v>
      </c>
      <c r="I6" t="n">
        <v>12.86154006000234</v>
      </c>
      <c r="J6" t="n">
        <v>0.2830499889606088</v>
      </c>
      <c r="K6" t="n">
        <v>23.62447844228094</v>
      </c>
      <c r="L6" t="n">
        <v>1.068088347296268</v>
      </c>
      <c r="M6" t="n">
        <v>4360</v>
      </c>
      <c r="N6" t="n">
        <v>6.174377758429158</v>
      </c>
      <c r="O6" t="n">
        <v>15</v>
      </c>
      <c r="P6" t="n">
        <v>76997</v>
      </c>
      <c r="Q6" t="n">
        <v>37</v>
      </c>
      <c r="R6" t="n">
        <v>21794</v>
      </c>
      <c r="S6" t="n">
        <v>1.270928001615672</v>
      </c>
      <c r="T6" t="n">
        <v>13.41495761274993</v>
      </c>
      <c r="U6" t="inlineStr">
        <is>
          <t>NORMAL</t>
        </is>
      </c>
      <c r="V6" t="n">
        <v>3.936222758676466</v>
      </c>
      <c r="W6" t="inlineStr">
        <is>
          <t>NORMAL</t>
        </is>
      </c>
      <c r="X6" t="n">
        <v>5.154749679728043</v>
      </c>
      <c r="Y6" t="inlineStr">
        <is>
          <t>NORMAL</t>
        </is>
      </c>
      <c r="Z6" t="n">
        <v>0</v>
      </c>
      <c r="AA6" t="n">
        <v>2024</v>
      </c>
      <c r="AB6" s="4" t="n">
        <v>0.6</v>
      </c>
      <c r="AC6" s="3" t="n">
        <v>1</v>
      </c>
      <c r="AD6" s="5" t="n">
        <v>0.25</v>
      </c>
      <c r="AE6" s="5" t="n">
        <v>0.2</v>
      </c>
      <c r="AF6" s="3" t="n">
        <v>1</v>
      </c>
      <c r="AG6" s="4" t="n">
        <v>0.6</v>
      </c>
      <c r="AH6" s="5" t="n">
        <v>0.25</v>
      </c>
      <c r="AI6" s="4" t="n">
        <v>0.4</v>
      </c>
      <c r="AJ6" s="4" t="n">
        <v>0.4</v>
      </c>
      <c r="AK6" s="3" t="n">
        <v>1</v>
      </c>
    </row>
    <row r="7">
      <c r="A7" s="6" t="inlineStr">
        <is>
          <t>Median</t>
        </is>
      </c>
      <c r="AB7">
        <f>MEDIAN(AB2:AB6)</f>
        <v/>
      </c>
      <c r="AC7">
        <f>MEDIAN(AC2:AC6)</f>
        <v/>
      </c>
      <c r="AD7">
        <f>MEDIAN(AD2:AD6)</f>
        <v/>
      </c>
      <c r="AE7">
        <f>MEDIAN(AE2:AE6)</f>
        <v/>
      </c>
      <c r="AF7">
        <f>MEDIAN(AF2:AF6)</f>
        <v/>
      </c>
      <c r="AG7">
        <f>MEDIAN(AG2:AG6)</f>
        <v/>
      </c>
      <c r="AH7">
        <f>MEDIAN(AH2:AH6)</f>
        <v/>
      </c>
      <c r="AI7">
        <f>MEDIAN(AI2:AI6)</f>
        <v/>
      </c>
      <c r="AJ7">
        <f>MEDIAN(AJ2:AJ6)</f>
        <v/>
      </c>
      <c r="AK7">
        <f>MEDIAN(AK2:AK6)</f>
        <v/>
      </c>
    </row>
  </sheetData>
  <autoFilter ref="A1:AK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12" customWidth="1" min="3" max="3"/>
    <col width="14" customWidth="1" min="4" max="4"/>
    <col width="6" customWidth="1" min="5" max="5"/>
    <col width="10" customWidth="1" min="6" max="6"/>
    <col width="23" customWidth="1" min="7" max="7"/>
    <col width="24" customWidth="1" min="8" max="8"/>
    <col width="22" customWidth="1" min="9" max="9"/>
    <col width="20" customWidth="1" min="10" max="10"/>
    <col width="19" customWidth="1" min="11" max="11"/>
    <col width="20" customWidth="1" min="12" max="12"/>
    <col width="19" customWidth="1" min="13" max="13"/>
    <col width="19" customWidth="1" min="14" max="14"/>
    <col width="20" customWidth="1" min="15" max="15"/>
    <col width="22" customWidth="1" min="16" max="16"/>
    <col width="24" customWidth="1" min="17" max="17"/>
    <col width="15" customWidth="1" min="18" max="18"/>
    <col width="24" customWidth="1" min="19" max="19"/>
    <col width="19" customWidth="1" min="20" max="20"/>
    <col width="23" customWidth="1" min="21" max="21"/>
    <col width="19" customWidth="1" min="22" max="22"/>
    <col width="19" customWidth="1" min="23" max="23"/>
    <col width="19" customWidth="1" min="24" max="24"/>
    <col width="19" customWidth="1" min="25" max="25"/>
    <col width="24" customWidth="1" min="26" max="26"/>
    <col width="10" customWidth="1" min="27" max="27"/>
    <col width="24" customWidth="1" min="28" max="28"/>
    <col width="24" customWidth="1" min="29" max="29"/>
    <col width="23" customWidth="1" min="30" max="30"/>
    <col width="24" customWidth="1" min="31" max="31"/>
    <col width="24" customWidth="1" min="32" max="32"/>
    <col width="24" customWidth="1" min="33" max="33"/>
    <col width="23" customWidth="1" min="34" max="34"/>
    <col width="24" customWidth="1" min="35" max="35"/>
    <col width="24" customWidth="1" min="36" max="36"/>
    <col width="24" customWidth="1" min="37" max="37"/>
  </cols>
  <sheetData>
    <row r="1">
      <c r="A1" s="1" t="inlineStr">
        <is>
          <t>id_x</t>
        </is>
      </c>
      <c r="B1" s="1" t="inlineStr">
        <is>
          <t>peer_group_name</t>
        </is>
      </c>
      <c r="C1" s="1" t="inlineStr">
        <is>
          <t>company_id</t>
        </is>
      </c>
      <c r="D1" s="1" t="inlineStr">
        <is>
          <t>is_benchmark</t>
        </is>
      </c>
      <c r="E1" s="1" t="inlineStr">
        <is>
          <t>id_y</t>
        </is>
      </c>
      <c r="F1" s="1" t="inlineStr">
        <is>
          <t>year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return_on_equity_pct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total_debt_cr</t>
        </is>
      </c>
      <c r="S1" s="1" t="inlineStr">
        <is>
          <t>cash_from_operations_cr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pat_cagr_5yr</t>
        </is>
      </c>
      <c r="W1" s="1" t="inlineStr">
        <is>
          <t>pat_cagr_5yr_flag</t>
        </is>
      </c>
      <c r="X1" s="1" t="inlineStr">
        <is>
          <t>eps_cagr_5yr</t>
        </is>
      </c>
      <c r="Y1" s="1" t="inlineStr">
        <is>
          <t>eps_cagr_5yr_flag</t>
        </is>
      </c>
      <c r="Z1" s="1" t="inlineStr">
        <is>
          <t>composite_quality_score</t>
        </is>
      </c>
      <c r="AA1" s="1" t="inlineStr">
        <is>
          <t>year_num</t>
        </is>
      </c>
      <c r="AB1" s="1" t="inlineStr">
        <is>
          <t>asset_turnover_pct_rank</t>
        </is>
      </c>
      <c r="AC1" s="1" t="inlineStr">
        <is>
          <t>debt_to_equity_pct_rank</t>
        </is>
      </c>
      <c r="AD1" s="1" t="inlineStr">
        <is>
          <t>eps_cagr_5yr_pct_rank</t>
        </is>
      </c>
      <c r="AE1" s="1" t="inlineStr">
        <is>
          <t>free_cash_flow_cr_pct_rank</t>
        </is>
      </c>
      <c r="AF1" s="1" t="inlineStr">
        <is>
          <t>interest_coverage_pct_rank</t>
        </is>
      </c>
      <c r="AG1" s="1" t="inlineStr">
        <is>
          <t>net_profit_margin_pct_pct_rank</t>
        </is>
      </c>
      <c r="AH1" s="1" t="inlineStr">
        <is>
          <t>pat_cagr_5yr_pct_rank</t>
        </is>
      </c>
      <c r="AI1" s="1" t="inlineStr">
        <is>
          <t>return_on_capital_employed_pct_pct_rank</t>
        </is>
      </c>
      <c r="AJ1" s="1" t="inlineStr">
        <is>
          <t>return_on_equity_pct_pct_rank</t>
        </is>
      </c>
      <c r="AK1" s="1" t="inlineStr">
        <is>
          <t>revenue_cagr_5yr_pct_rank</t>
        </is>
      </c>
    </row>
    <row r="2">
      <c r="A2" s="2" t="n">
        <v>15</v>
      </c>
      <c r="B2" s="2" t="inlineStr">
        <is>
          <t>Pharmaceuticals</t>
        </is>
      </c>
      <c r="C2" s="2" t="inlineStr">
        <is>
          <t>SUNPHARMA</t>
        </is>
      </c>
      <c r="D2" s="2" t="n">
        <v>1</v>
      </c>
      <c r="E2" s="2" t="n">
        <v>1020</v>
      </c>
      <c r="F2" s="2" t="inlineStr">
        <is>
          <t>Mar 2024</t>
        </is>
      </c>
      <c r="G2" s="2" t="n">
        <v>19.81565870053818</v>
      </c>
      <c r="H2" s="2" t="n">
        <v>26.84289749881436</v>
      </c>
      <c r="I2" s="2" t="n">
        <v>15.09416181067115</v>
      </c>
      <c r="J2" s="2" t="n">
        <v>0.0514238145350024</v>
      </c>
      <c r="K2" s="2" t="n">
        <v>58.33193277310925</v>
      </c>
      <c r="L2" s="2" t="n">
        <v>0.5684929901064378</v>
      </c>
      <c r="M2" s="2" t="n">
        <v>11372</v>
      </c>
      <c r="N2" s="2" t="n">
        <v>1.573293193393406</v>
      </c>
      <c r="O2" s="2" t="n">
        <v>40</v>
      </c>
      <c r="P2" s="2" t="n">
        <v>63667</v>
      </c>
      <c r="Q2" s="2" t="n">
        <v>34</v>
      </c>
      <c r="R2" s="2" t="n">
        <v>3274</v>
      </c>
      <c r="S2" s="2" t="n">
        <v>1.262747138397503</v>
      </c>
      <c r="T2" s="2" t="n">
        <v>8.906066095856712</v>
      </c>
      <c r="U2" s="2" t="inlineStr">
        <is>
          <t>NORMAL</t>
        </is>
      </c>
      <c r="V2" s="2" t="n">
        <v>21.65463531596604</v>
      </c>
      <c r="W2" s="2" t="inlineStr">
        <is>
          <t>NORMAL</t>
        </is>
      </c>
      <c r="X2" s="2" t="n">
        <v>23.51723745192793</v>
      </c>
      <c r="Y2" s="2" t="inlineStr">
        <is>
          <t>NORMAL</t>
        </is>
      </c>
      <c r="Z2" s="2" t="n">
        <v>0</v>
      </c>
      <c r="AA2" s="2" t="n">
        <v>2024</v>
      </c>
      <c r="AB2" s="4" t="n">
        <v>0.4</v>
      </c>
      <c r="AC2" s="4" t="n">
        <v>0.6</v>
      </c>
      <c r="AD2" s="3" t="n">
        <v>0.8</v>
      </c>
      <c r="AE2" s="3" t="n">
        <v>1</v>
      </c>
      <c r="AF2" s="3" t="n">
        <v>0.8</v>
      </c>
      <c r="AG2" s="4" t="n">
        <v>0.6</v>
      </c>
      <c r="AH2" s="4" t="n">
        <v>0.6</v>
      </c>
      <c r="AI2" s="4" t="n">
        <v>0.4</v>
      </c>
      <c r="AJ2" s="4" t="n">
        <v>0.4</v>
      </c>
      <c r="AK2" s="4" t="n">
        <v>0.4</v>
      </c>
    </row>
    <row r="3">
      <c r="A3" t="n">
        <v>16</v>
      </c>
      <c r="B3" t="inlineStr">
        <is>
          <t>Pharmaceuticals</t>
        </is>
      </c>
      <c r="C3" t="inlineStr">
        <is>
          <t>CIPLA</t>
        </is>
      </c>
      <c r="D3" t="n">
        <v>0</v>
      </c>
      <c r="E3" t="n">
        <v>312</v>
      </c>
      <c r="F3" t="inlineStr">
        <is>
          <t>Mar 2024</t>
        </is>
      </c>
      <c r="G3" t="n">
        <v>16.11701714906495</v>
      </c>
      <c r="H3" t="n">
        <v>75.59168153953597</v>
      </c>
      <c r="I3" t="n">
        <v>15.55455702838314</v>
      </c>
      <c r="J3" t="n">
        <v>0.0209316258518684</v>
      </c>
      <c r="K3" t="n">
        <v>35.33876811594203</v>
      </c>
      <c r="L3" t="n">
        <v>0.7922417237881536</v>
      </c>
      <c r="M3" t="n">
        <v>1152</v>
      </c>
      <c r="N3" t="n">
        <v>11.5697990222705</v>
      </c>
      <c r="O3" t="n">
        <v>51</v>
      </c>
      <c r="P3" t="n">
        <v>26706</v>
      </c>
      <c r="Q3" t="n">
        <v>25</v>
      </c>
      <c r="R3" t="n">
        <v>559</v>
      </c>
      <c r="S3" t="n">
        <v>0.9951853635050554</v>
      </c>
      <c r="T3" t="n">
        <v>9.509045916546288</v>
      </c>
      <c r="U3" t="inlineStr">
        <is>
          <t>NORMAL</t>
        </is>
      </c>
      <c r="V3" t="n">
        <v>27.15973724150836</v>
      </c>
      <c r="W3" t="inlineStr">
        <is>
          <t>NORMAL</t>
        </is>
      </c>
      <c r="X3" t="n">
        <v>26.6857064916266</v>
      </c>
      <c r="Y3" t="inlineStr">
        <is>
          <t>NORMAL</t>
        </is>
      </c>
      <c r="Z3" t="n">
        <v>0</v>
      </c>
      <c r="AA3" t="n">
        <v>2024</v>
      </c>
      <c r="AB3" s="3" t="n">
        <v>1</v>
      </c>
      <c r="AC3" s="3" t="n">
        <v>0.8</v>
      </c>
      <c r="AD3" s="3" t="n">
        <v>1</v>
      </c>
      <c r="AE3" s="4" t="n">
        <v>0.6</v>
      </c>
      <c r="AF3" s="4" t="n">
        <v>0.4</v>
      </c>
      <c r="AG3" s="4" t="n">
        <v>0.4</v>
      </c>
      <c r="AH3" s="3" t="n">
        <v>1</v>
      </c>
      <c r="AI3" s="3" t="n">
        <v>1</v>
      </c>
      <c r="AJ3" s="4" t="n">
        <v>0.6</v>
      </c>
      <c r="AK3" s="4" t="n">
        <v>0.6</v>
      </c>
    </row>
    <row r="4">
      <c r="A4" t="n">
        <v>17</v>
      </c>
      <c r="B4" t="inlineStr">
        <is>
          <t>Pharmaceuticals</t>
        </is>
      </c>
      <c r="C4" t="inlineStr">
        <is>
          <t>DRREDDY</t>
        </is>
      </c>
      <c r="D4" t="n">
        <v>0</v>
      </c>
      <c r="E4" t="n">
        <v>390</v>
      </c>
      <c r="F4" t="inlineStr">
        <is>
          <t>Mar 2024</t>
        </is>
      </c>
      <c r="G4" t="n">
        <v>19.9136053693192</v>
      </c>
      <c r="H4" t="n">
        <v>28.32101674342223</v>
      </c>
      <c r="I4" t="n">
        <v>19.74233736816026</v>
      </c>
      <c r="J4" t="n">
        <v>0.0708572237559283</v>
      </c>
      <c r="K4" t="n">
        <v>51.70760233918129</v>
      </c>
      <c r="L4" t="n">
        <v>0.7223053120165034</v>
      </c>
      <c r="M4" t="n">
        <v>509</v>
      </c>
      <c r="N4" t="n">
        <v>14.40148513084145</v>
      </c>
      <c r="O4" t="n">
        <v>67</v>
      </c>
      <c r="P4" t="n">
        <v>28254</v>
      </c>
      <c r="Q4" t="n">
        <v>12</v>
      </c>
      <c r="R4" t="n">
        <v>2002</v>
      </c>
      <c r="S4" t="n">
        <v>0.8144496235209753</v>
      </c>
      <c r="T4" t="n">
        <v>12.25861235575369</v>
      </c>
      <c r="U4" t="inlineStr">
        <is>
          <t>NORMAL</t>
        </is>
      </c>
      <c r="V4" t="n">
        <v>21.87637588806244</v>
      </c>
      <c r="W4" t="inlineStr">
        <is>
          <t>NORMAL</t>
        </is>
      </c>
      <c r="X4" t="n">
        <v>21.67286837864115</v>
      </c>
      <c r="Y4" t="inlineStr">
        <is>
          <t>NORMAL</t>
        </is>
      </c>
      <c r="Z4" t="n">
        <v>0</v>
      </c>
      <c r="AA4" t="n">
        <v>2024</v>
      </c>
      <c r="AB4" s="4" t="n">
        <v>0.6</v>
      </c>
      <c r="AC4" s="4" t="n">
        <v>0.4</v>
      </c>
      <c r="AD4" s="4" t="n">
        <v>0.6</v>
      </c>
      <c r="AE4" s="5" t="n">
        <v>0.2</v>
      </c>
      <c r="AF4" s="4" t="n">
        <v>0.6</v>
      </c>
      <c r="AG4" s="3" t="n">
        <v>0.8</v>
      </c>
      <c r="AH4" s="3" t="n">
        <v>0.8</v>
      </c>
      <c r="AI4" s="4" t="n">
        <v>0.6</v>
      </c>
      <c r="AJ4" s="3" t="n">
        <v>0.8</v>
      </c>
      <c r="AK4" s="3" t="n">
        <v>1</v>
      </c>
    </row>
    <row r="5">
      <c r="A5" t="n">
        <v>18</v>
      </c>
      <c r="B5" t="inlineStr">
        <is>
          <t>Pharmaceuticals</t>
        </is>
      </c>
      <c r="C5" t="inlineStr">
        <is>
          <t>DIVISLAB</t>
        </is>
      </c>
      <c r="D5" t="n">
        <v>0</v>
      </c>
      <c r="E5" t="n">
        <v>351</v>
      </c>
      <c r="F5" t="inlineStr">
        <is>
          <t>Mar 2024</t>
        </is>
      </c>
      <c r="G5" t="n">
        <v>20.39515615041428</v>
      </c>
      <c r="H5" t="n">
        <v>28.17080943275972</v>
      </c>
      <c r="I5" t="n">
        <v>11.78984599513669</v>
      </c>
      <c r="J5" t="n">
        <v>0.0002210596124088</v>
      </c>
      <c r="K5" t="n">
        <v>636.25</v>
      </c>
      <c r="L5" t="n">
        <v>0.5074385510996119</v>
      </c>
      <c r="M5" t="n">
        <v>992</v>
      </c>
      <c r="N5" t="n">
        <v>3.4289356277884</v>
      </c>
      <c r="O5" t="n">
        <v>60</v>
      </c>
      <c r="P5" t="n">
        <v>13571</v>
      </c>
      <c r="Q5" t="n">
        <v>50</v>
      </c>
      <c r="R5" t="n">
        <v>3</v>
      </c>
      <c r="S5" t="n">
        <v>0.788125</v>
      </c>
      <c r="T5" t="n">
        <v>9.814271556061938</v>
      </c>
      <c r="U5" t="inlineStr">
        <is>
          <t>NORMAL</t>
        </is>
      </c>
      <c r="V5" t="n">
        <v>5.922384104881218</v>
      </c>
      <c r="W5" t="inlineStr">
        <is>
          <t>NORMAL</t>
        </is>
      </c>
      <c r="X5" t="n">
        <v>5.820339229333826</v>
      </c>
      <c r="Y5" t="inlineStr">
        <is>
          <t>NORMAL</t>
        </is>
      </c>
      <c r="Z5" t="n">
        <v>0</v>
      </c>
      <c r="AA5" t="n">
        <v>2024</v>
      </c>
      <c r="AB5" s="5" t="n">
        <v>0.2</v>
      </c>
      <c r="AC5" s="3" t="n">
        <v>1</v>
      </c>
      <c r="AD5" s="5" t="n">
        <v>0.2</v>
      </c>
      <c r="AE5" s="4" t="n">
        <v>0.4</v>
      </c>
      <c r="AF5" s="3" t="n">
        <v>1</v>
      </c>
      <c r="AG5" s="3" t="n">
        <v>1</v>
      </c>
      <c r="AH5" s="5" t="n">
        <v>0.2</v>
      </c>
      <c r="AI5" s="5" t="n">
        <v>0.2</v>
      </c>
      <c r="AJ5" s="5" t="n">
        <v>0.2</v>
      </c>
      <c r="AK5" s="3" t="n">
        <v>0.8</v>
      </c>
    </row>
    <row r="6">
      <c r="A6" t="n">
        <v>19</v>
      </c>
      <c r="B6" t="inlineStr">
        <is>
          <t>Pharmaceuticals</t>
        </is>
      </c>
      <c r="C6" t="inlineStr">
        <is>
          <t>TORNTPHARM</t>
        </is>
      </c>
      <c r="D6" t="n">
        <v>0</v>
      </c>
      <c r="E6" t="n">
        <v>1124</v>
      </c>
      <c r="F6" t="inlineStr">
        <is>
          <t>Mar 2024</t>
        </is>
      </c>
      <c r="G6" t="n">
        <v>15.43624161073826</v>
      </c>
      <c r="H6" t="n">
        <v>31.3944817300522</v>
      </c>
      <c r="I6" t="n">
        <v>24.15402567094516</v>
      </c>
      <c r="J6" t="n">
        <v>0.5866394399066511</v>
      </c>
      <c r="K6" t="n">
        <v>9.926553672316384</v>
      </c>
      <c r="L6" t="n">
        <v>0.7396070320579111</v>
      </c>
      <c r="M6" t="n">
        <v>3106</v>
      </c>
      <c r="N6" t="n">
        <v>1.491424310216256</v>
      </c>
      <c r="O6" t="n">
        <v>49</v>
      </c>
      <c r="P6" t="n">
        <v>6856</v>
      </c>
      <c r="Q6" t="n">
        <v>57</v>
      </c>
      <c r="R6" t="n">
        <v>4022</v>
      </c>
      <c r="S6" t="n">
        <v>1.972222222222222</v>
      </c>
      <c r="T6" t="n">
        <v>7.31931703095825</v>
      </c>
      <c r="U6" t="inlineStr">
        <is>
          <t>NORMAL</t>
        </is>
      </c>
      <c r="V6" t="n">
        <v>12.681121873899</v>
      </c>
      <c r="W6" t="inlineStr">
        <is>
          <t>NORMAL</t>
        </is>
      </c>
      <c r="X6" t="n">
        <v>12.88813207301975</v>
      </c>
      <c r="Y6" t="inlineStr">
        <is>
          <t>NORMAL</t>
        </is>
      </c>
      <c r="Z6" t="n">
        <v>0</v>
      </c>
      <c r="AA6" t="n">
        <v>2024</v>
      </c>
      <c r="AB6" s="3" t="n">
        <v>0.8</v>
      </c>
      <c r="AC6" s="5" t="n">
        <v>0.2</v>
      </c>
      <c r="AD6" s="4" t="n">
        <v>0.4</v>
      </c>
      <c r="AE6" s="3" t="n">
        <v>0.8</v>
      </c>
      <c r="AF6" s="5" t="n">
        <v>0.2</v>
      </c>
      <c r="AG6" s="5" t="n">
        <v>0.2</v>
      </c>
      <c r="AH6" s="4" t="n">
        <v>0.4</v>
      </c>
      <c r="AI6" s="3" t="n">
        <v>0.8</v>
      </c>
      <c r="AJ6" s="3" t="n">
        <v>1</v>
      </c>
      <c r="AK6" s="5" t="n">
        <v>0.2</v>
      </c>
    </row>
    <row r="7">
      <c r="A7" s="6" t="inlineStr">
        <is>
          <t>Median</t>
        </is>
      </c>
      <c r="AB7">
        <f>MEDIAN(AB2:AB6)</f>
        <v/>
      </c>
      <c r="AC7">
        <f>MEDIAN(AC2:AC6)</f>
        <v/>
      </c>
      <c r="AD7">
        <f>MEDIAN(AD2:AD6)</f>
        <v/>
      </c>
      <c r="AE7">
        <f>MEDIAN(AE2:AE6)</f>
        <v/>
      </c>
      <c r="AF7">
        <f>MEDIAN(AF2:AF6)</f>
        <v/>
      </c>
      <c r="AG7">
        <f>MEDIAN(AG2:AG6)</f>
        <v/>
      </c>
      <c r="AH7">
        <f>MEDIAN(AH2:AH6)</f>
        <v/>
      </c>
      <c r="AI7">
        <f>MEDIAN(AI2:AI6)</f>
        <v/>
      </c>
      <c r="AJ7">
        <f>MEDIAN(AJ2:AJ6)</f>
        <v/>
      </c>
      <c r="AK7">
        <f>MEDIAN(AK2:AK6)</f>
        <v/>
      </c>
    </row>
  </sheetData>
  <autoFilter ref="A1:AK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12" customWidth="1" min="3" max="3"/>
    <col width="14" customWidth="1" min="4" max="4"/>
    <col width="6" customWidth="1" min="5" max="5"/>
    <col width="10" customWidth="1" min="6" max="6"/>
    <col width="23" customWidth="1" min="7" max="7"/>
    <col width="24" customWidth="1" min="8" max="8"/>
    <col width="22" customWidth="1" min="9" max="9"/>
    <col width="20" customWidth="1" min="10" max="10"/>
    <col width="19" customWidth="1" min="11" max="11"/>
    <col width="20" customWidth="1" min="12" max="12"/>
    <col width="19" customWidth="1" min="13" max="13"/>
    <col width="19" customWidth="1" min="14" max="14"/>
    <col width="20" customWidth="1" min="15" max="15"/>
    <col width="22" customWidth="1" min="16" max="16"/>
    <col width="24" customWidth="1" min="17" max="17"/>
    <col width="15" customWidth="1" min="18" max="18"/>
    <col width="24" customWidth="1" min="19" max="19"/>
    <col width="21" customWidth="1" min="20" max="20"/>
    <col width="23" customWidth="1" min="21" max="21"/>
    <col width="20" customWidth="1" min="22" max="22"/>
    <col width="19" customWidth="1" min="23" max="23"/>
    <col width="19" customWidth="1" min="24" max="24"/>
    <col width="19" customWidth="1" min="25" max="25"/>
    <col width="24" customWidth="1" min="26" max="26"/>
    <col width="10" customWidth="1" min="27" max="27"/>
    <col width="24" customWidth="1" min="28" max="28"/>
    <col width="24" customWidth="1" min="29" max="29"/>
    <col width="23" customWidth="1" min="30" max="30"/>
    <col width="24" customWidth="1" min="31" max="31"/>
    <col width="24" customWidth="1" min="32" max="32"/>
    <col width="24" customWidth="1" min="33" max="33"/>
    <col width="23" customWidth="1" min="34" max="34"/>
    <col width="24" customWidth="1" min="35" max="35"/>
    <col width="24" customWidth="1" min="36" max="36"/>
    <col width="24" customWidth="1" min="37" max="37"/>
  </cols>
  <sheetData>
    <row r="1">
      <c r="A1" s="1" t="inlineStr">
        <is>
          <t>id_x</t>
        </is>
      </c>
      <c r="B1" s="1" t="inlineStr">
        <is>
          <t>peer_group_name</t>
        </is>
      </c>
      <c r="C1" s="1" t="inlineStr">
        <is>
          <t>company_id</t>
        </is>
      </c>
      <c r="D1" s="1" t="inlineStr">
        <is>
          <t>is_benchmark</t>
        </is>
      </c>
      <c r="E1" s="1" t="inlineStr">
        <is>
          <t>id_y</t>
        </is>
      </c>
      <c r="F1" s="1" t="inlineStr">
        <is>
          <t>year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return_on_equity_pct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total_debt_cr</t>
        </is>
      </c>
      <c r="S1" s="1" t="inlineStr">
        <is>
          <t>cash_from_operations_cr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pat_cagr_5yr</t>
        </is>
      </c>
      <c r="W1" s="1" t="inlineStr">
        <is>
          <t>pat_cagr_5yr_flag</t>
        </is>
      </c>
      <c r="X1" s="1" t="inlineStr">
        <is>
          <t>eps_cagr_5yr</t>
        </is>
      </c>
      <c r="Y1" s="1" t="inlineStr">
        <is>
          <t>eps_cagr_5yr_flag</t>
        </is>
      </c>
      <c r="Z1" s="1" t="inlineStr">
        <is>
          <t>composite_quality_score</t>
        </is>
      </c>
      <c r="AA1" s="1" t="inlineStr">
        <is>
          <t>year_num</t>
        </is>
      </c>
      <c r="AB1" s="1" t="inlineStr">
        <is>
          <t>asset_turnover_pct_rank</t>
        </is>
      </c>
      <c r="AC1" s="1" t="inlineStr">
        <is>
          <t>debt_to_equity_pct_rank</t>
        </is>
      </c>
      <c r="AD1" s="1" t="inlineStr">
        <is>
          <t>eps_cagr_5yr_pct_rank</t>
        </is>
      </c>
      <c r="AE1" s="1" t="inlineStr">
        <is>
          <t>free_cash_flow_cr_pct_rank</t>
        </is>
      </c>
      <c r="AF1" s="1" t="inlineStr">
        <is>
          <t>interest_coverage_pct_rank</t>
        </is>
      </c>
      <c r="AG1" s="1" t="inlineStr">
        <is>
          <t>net_profit_margin_pct_pct_rank</t>
        </is>
      </c>
      <c r="AH1" s="1" t="inlineStr">
        <is>
          <t>pat_cagr_5yr_pct_rank</t>
        </is>
      </c>
      <c r="AI1" s="1" t="inlineStr">
        <is>
          <t>return_on_capital_employed_pct_pct_rank</t>
        </is>
      </c>
      <c r="AJ1" s="1" t="inlineStr">
        <is>
          <t>return_on_equity_pct_pct_rank</t>
        </is>
      </c>
      <c r="AK1" s="1" t="inlineStr">
        <is>
          <t>revenue_cagr_5yr_pct_rank</t>
        </is>
      </c>
    </row>
    <row r="2">
      <c r="A2" s="2" t="n">
        <v>36</v>
      </c>
      <c r="B2" s="2" t="inlineStr">
        <is>
          <t>Power &amp; Utilities</t>
        </is>
      </c>
      <c r="C2" s="2" t="inlineStr">
        <is>
          <t>NTPC</t>
        </is>
      </c>
      <c r="D2" s="2" t="n">
        <v>1</v>
      </c>
      <c r="E2" s="2" t="n">
        <v>852</v>
      </c>
      <c r="F2" s="2" t="inlineStr">
        <is>
          <t>Mar 2024</t>
        </is>
      </c>
      <c r="G2" s="2" t="n">
        <v>11.95063332978527</v>
      </c>
      <c r="H2" s="2" t="n">
        <v>28.82672926202094</v>
      </c>
      <c r="I2" s="2" t="n">
        <v>13.27359840706863</v>
      </c>
      <c r="J2" s="2" t="n">
        <v>1.475521125007778</v>
      </c>
      <c r="K2" s="2" t="n">
        <v>4.604991464108609</v>
      </c>
      <c r="L2" s="2" t="n">
        <v>0.3724372910920175</v>
      </c>
      <c r="M2" s="2" t="n">
        <v>8644</v>
      </c>
      <c r="N2" s="2" t="n">
        <v>18.00606159069137</v>
      </c>
      <c r="O2" s="2" t="n">
        <v>21</v>
      </c>
      <c r="P2" s="2" t="n">
        <v>160710</v>
      </c>
      <c r="Q2" s="2" t="n">
        <v>36</v>
      </c>
      <c r="R2" s="2" t="n">
        <v>237131</v>
      </c>
      <c r="S2" s="2" t="n">
        <v>1.911916369773111</v>
      </c>
      <c r="T2" s="2" t="n">
        <v>11.17262932493746</v>
      </c>
      <c r="U2" s="2" t="inlineStr">
        <is>
          <t>NORMAL</t>
        </is>
      </c>
      <c r="V2" s="2" t="n">
        <v>13.62919013211745</v>
      </c>
      <c r="W2" s="2" t="inlineStr">
        <is>
          <t>NORMAL</t>
        </is>
      </c>
      <c r="X2" s="2" t="n">
        <v>13.89622185878991</v>
      </c>
      <c r="Y2" s="2" t="inlineStr">
        <is>
          <t>NORMAL</t>
        </is>
      </c>
      <c r="Z2" s="2" t="n">
        <v>0</v>
      </c>
      <c r="AA2" s="2" t="n">
        <v>2024</v>
      </c>
      <c r="AB2" s="4" t="n">
        <v>0.7143</v>
      </c>
      <c r="AC2" s="4" t="n">
        <v>0.5714</v>
      </c>
      <c r="AD2" s="3" t="n">
        <v>0.8</v>
      </c>
      <c r="AE2" s="4" t="n">
        <v>0.7143</v>
      </c>
      <c r="AF2" s="4" t="n">
        <v>0.7143</v>
      </c>
      <c r="AG2" s="4" t="n">
        <v>0.2857</v>
      </c>
      <c r="AH2" s="3" t="n">
        <v>0.8</v>
      </c>
      <c r="AI2" s="4" t="n">
        <v>0.7143</v>
      </c>
      <c r="AJ2" s="4" t="n">
        <v>0.7143</v>
      </c>
      <c r="AK2" s="4" t="n">
        <v>0.5714</v>
      </c>
    </row>
    <row r="3">
      <c r="A3" t="n">
        <v>37</v>
      </c>
      <c r="B3" t="inlineStr">
        <is>
          <t>Power &amp; Utilities</t>
        </is>
      </c>
      <c r="C3" t="inlineStr">
        <is>
          <t>POWERGRID</t>
        </is>
      </c>
      <c r="D3" t="n">
        <v>0</v>
      </c>
      <c r="E3" t="n">
        <v>917</v>
      </c>
      <c r="F3" t="inlineStr">
        <is>
          <t>Mar 2024</t>
        </is>
      </c>
      <c r="G3" t="n">
        <v>33.97028990249329</v>
      </c>
      <c r="H3" t="n">
        <v>86.87476823070044</v>
      </c>
      <c r="I3" t="n">
        <v>17.87001124549607</v>
      </c>
      <c r="J3" t="n">
        <v>1.417345603929039</v>
      </c>
      <c r="K3" t="n">
        <v>4.60298643565485</v>
      </c>
      <c r="L3" t="n">
        <v>0.1827659481160471</v>
      </c>
      <c r="M3" t="n">
        <v>24176</v>
      </c>
      <c r="N3" t="n">
        <v>28.60633030124556</v>
      </c>
      <c r="O3" t="n">
        <v>17</v>
      </c>
      <c r="P3" t="n">
        <v>87146</v>
      </c>
      <c r="Q3" t="n">
        <v>67</v>
      </c>
      <c r="R3" t="n">
        <v>123516</v>
      </c>
      <c r="S3" t="n">
        <v>2.394528992486997</v>
      </c>
      <c r="T3" t="n">
        <v>3.950424143694753</v>
      </c>
      <c r="U3" t="inlineStr">
        <is>
          <t>NORMAL</t>
        </is>
      </c>
      <c r="V3" t="n">
        <v>7.276136071252526</v>
      </c>
      <c r="W3" t="inlineStr">
        <is>
          <t>NORMAL</t>
        </is>
      </c>
      <c r="X3" t="n">
        <v>7.214502590085092</v>
      </c>
      <c r="Y3" t="inlineStr">
        <is>
          <t>NORMAL</t>
        </is>
      </c>
      <c r="Z3" t="n">
        <v>0</v>
      </c>
      <c r="AA3" t="n">
        <v>2024</v>
      </c>
      <c r="AB3" s="4" t="n">
        <v>0.4286</v>
      </c>
      <c r="AC3" s="4" t="n">
        <v>0.7143</v>
      </c>
      <c r="AD3" s="4" t="n">
        <v>0.4</v>
      </c>
      <c r="AE3" s="3" t="n">
        <v>1</v>
      </c>
      <c r="AF3" s="4" t="n">
        <v>0.5714</v>
      </c>
      <c r="AG3" s="4" t="n">
        <v>0.7143</v>
      </c>
      <c r="AH3" s="4" t="n">
        <v>0.4</v>
      </c>
      <c r="AI3" s="3" t="n">
        <v>0.8571</v>
      </c>
      <c r="AJ3" s="3" t="n">
        <v>0.8571</v>
      </c>
      <c r="AK3" s="4" t="n">
        <v>0.2857</v>
      </c>
    </row>
    <row r="4">
      <c r="A4" t="n">
        <v>38</v>
      </c>
      <c r="B4" t="inlineStr">
        <is>
          <t>Power &amp; Utilities</t>
        </is>
      </c>
      <c r="C4" t="inlineStr">
        <is>
          <t>TATAPOWER</t>
        </is>
      </c>
      <c r="D4" t="n">
        <v>0</v>
      </c>
      <c r="E4" t="n">
        <v>1059</v>
      </c>
      <c r="F4" t="inlineStr">
        <is>
          <t>Mar 2024</t>
        </is>
      </c>
      <c r="G4" t="n">
        <v>6.965125551270159</v>
      </c>
      <c r="H4" t="n">
        <v>17.46977168058065</v>
      </c>
      <c r="I4" t="n">
        <v>13.22784027691927</v>
      </c>
      <c r="J4" t="n">
        <v>1.659321300531586</v>
      </c>
      <c r="K4" t="n">
        <v>3.054392402331103</v>
      </c>
      <c r="L4" t="n">
        <v>0.4419074604110633</v>
      </c>
      <c r="M4" t="n">
        <v>3569</v>
      </c>
      <c r="N4" t="n">
        <v>14.69023092320461</v>
      </c>
      <c r="O4" t="n">
        <v>12</v>
      </c>
      <c r="P4" t="n">
        <v>32356</v>
      </c>
      <c r="Q4" t="n">
        <v>17</v>
      </c>
      <c r="R4" t="n">
        <v>53689</v>
      </c>
      <c r="S4" t="n">
        <v>2.942990654205607</v>
      </c>
      <c r="T4" t="n">
        <v>16.85672525169848</v>
      </c>
      <c r="U4" t="inlineStr">
        <is>
          <t>NORMAL</t>
        </is>
      </c>
      <c r="V4" t="n">
        <v>27.32056560104155</v>
      </c>
      <c r="W4" t="inlineStr">
        <is>
          <t>NORMAL</t>
        </is>
      </c>
      <c r="X4" t="n">
        <v>24.57309396155174</v>
      </c>
      <c r="Y4" t="inlineStr">
        <is>
          <t>NORMAL</t>
        </is>
      </c>
      <c r="Z4" t="n">
        <v>0</v>
      </c>
      <c r="AA4" t="n">
        <v>2024</v>
      </c>
      <c r="AB4" s="3" t="n">
        <v>0.8571</v>
      </c>
      <c r="AC4" s="4" t="n">
        <v>0.2857</v>
      </c>
      <c r="AD4" s="3" t="n">
        <v>1</v>
      </c>
      <c r="AE4" s="4" t="n">
        <v>0.5714</v>
      </c>
      <c r="AF4" s="4" t="n">
        <v>0.4286</v>
      </c>
      <c r="AG4" s="5" t="n">
        <v>0.1429</v>
      </c>
      <c r="AH4" s="3" t="n">
        <v>1</v>
      </c>
      <c r="AI4" s="4" t="n">
        <v>0.5714</v>
      </c>
      <c r="AJ4" s="4" t="n">
        <v>0.5714</v>
      </c>
      <c r="AK4" s="3" t="n">
        <v>0.8571</v>
      </c>
    </row>
    <row r="5">
      <c r="A5" t="n">
        <v>39</v>
      </c>
      <c r="B5" t="inlineStr">
        <is>
          <t>Power &amp; Utilities</t>
        </is>
      </c>
      <c r="C5" t="inlineStr">
        <is>
          <t>ADANIPOWER</t>
        </is>
      </c>
      <c r="D5" t="n">
        <v>0</v>
      </c>
      <c r="E5" t="n">
        <v>72</v>
      </c>
      <c r="F5" t="inlineStr">
        <is>
          <t>Mar 2024</t>
        </is>
      </c>
      <c r="G5" t="n">
        <v>41.36759945184802</v>
      </c>
      <c r="H5" t="n">
        <v>36.20186292228556</v>
      </c>
      <c r="I5" t="n">
        <v>48.27674122146251</v>
      </c>
      <c r="J5" t="n">
        <v>0.8023177656738903</v>
      </c>
      <c r="K5" t="n">
        <v>8.297225501770956</v>
      </c>
      <c r="L5" t="n">
        <v>0.5472399439185297</v>
      </c>
      <c r="M5" t="n">
        <v>17651</v>
      </c>
      <c r="N5" t="n">
        <v>6.91346745844174</v>
      </c>
      <c r="O5" t="n">
        <v>54</v>
      </c>
      <c r="P5" t="n">
        <v>43145</v>
      </c>
      <c r="Q5" t="n">
        <v>0</v>
      </c>
      <c r="R5" t="n">
        <v>34616</v>
      </c>
      <c r="S5" t="n">
        <v>0.6803015027125642</v>
      </c>
      <c r="T5" t="n">
        <v>15.60425201316526</v>
      </c>
      <c r="U5" t="inlineStr">
        <is>
          <t>NORMAL</t>
        </is>
      </c>
      <c r="W5" t="inlineStr">
        <is>
          <t>TURNAROUND</t>
        </is>
      </c>
      <c r="Y5" t="inlineStr">
        <is>
          <t>TURNAROUND</t>
        </is>
      </c>
      <c r="Z5" t="n">
        <v>0</v>
      </c>
      <c r="AA5" t="n">
        <v>2024</v>
      </c>
      <c r="AB5" s="3" t="n">
        <v>1</v>
      </c>
      <c r="AC5" s="3" t="n">
        <v>1</v>
      </c>
      <c r="AE5" s="3" t="n">
        <v>0.8571</v>
      </c>
      <c r="AF5" s="3" t="n">
        <v>0.8571</v>
      </c>
      <c r="AG5" s="3" t="n">
        <v>0.8571</v>
      </c>
      <c r="AI5" s="3" t="n">
        <v>1</v>
      </c>
      <c r="AJ5" s="3" t="n">
        <v>1</v>
      </c>
      <c r="AK5" s="4" t="n">
        <v>0.7143</v>
      </c>
    </row>
    <row r="6">
      <c r="A6" t="n">
        <v>40</v>
      </c>
      <c r="B6" t="inlineStr">
        <is>
          <t>Power &amp; Utilities</t>
        </is>
      </c>
      <c r="C6" t="inlineStr">
        <is>
          <t>NHPC</t>
        </is>
      </c>
      <c r="D6" t="n">
        <v>0</v>
      </c>
      <c r="E6" t="n">
        <v>839</v>
      </c>
      <c r="F6" t="inlineStr">
        <is>
          <t>Mar 2024</t>
        </is>
      </c>
      <c r="G6" t="n">
        <v>41.81893687707641</v>
      </c>
      <c r="H6" t="n">
        <v>49.90656146179402</v>
      </c>
      <c r="I6" t="n">
        <v>10.40773086662188</v>
      </c>
      <c r="J6" t="n">
        <v>0.8413260296625498</v>
      </c>
      <c r="K6" t="n">
        <v>11.24342105263158</v>
      </c>
      <c r="L6" t="n">
        <v>0.1032401899310803</v>
      </c>
      <c r="M6" t="n">
        <v>970</v>
      </c>
      <c r="N6" t="n">
        <v>61.96013289036545</v>
      </c>
      <c r="O6" t="n">
        <v>4</v>
      </c>
      <c r="P6" t="n">
        <v>38702</v>
      </c>
      <c r="Q6" t="n">
        <v>53</v>
      </c>
      <c r="R6" t="n">
        <v>32561</v>
      </c>
      <c r="S6" t="n">
        <v>1.722442899702085</v>
      </c>
      <c r="T6" t="n">
        <v>-0.6437260940230005</v>
      </c>
      <c r="U6" t="inlineStr">
        <is>
          <t>NORMAL</t>
        </is>
      </c>
      <c r="V6" t="n">
        <v>0.4268339432818457</v>
      </c>
      <c r="W6" t="inlineStr">
        <is>
          <t>NORMAL</t>
        </is>
      </c>
      <c r="X6" t="n">
        <v>0</v>
      </c>
      <c r="Y6" t="inlineStr">
        <is>
          <t>NORMAL</t>
        </is>
      </c>
      <c r="Z6" t="n">
        <v>0</v>
      </c>
      <c r="AA6" t="n">
        <v>2024</v>
      </c>
      <c r="AB6" s="5" t="n">
        <v>0.1429</v>
      </c>
      <c r="AC6" s="3" t="n">
        <v>0.8571</v>
      </c>
      <c r="AD6" s="5" t="n">
        <v>0.2</v>
      </c>
      <c r="AE6" s="4" t="n">
        <v>0.4286</v>
      </c>
      <c r="AF6" s="3" t="n">
        <v>1</v>
      </c>
      <c r="AG6" s="3" t="n">
        <v>1</v>
      </c>
      <c r="AH6" s="5" t="n">
        <v>0.2</v>
      </c>
      <c r="AI6" s="5" t="n">
        <v>0.1429</v>
      </c>
      <c r="AJ6" s="4" t="n">
        <v>0.2857</v>
      </c>
      <c r="AK6" s="5" t="n">
        <v>0.1429</v>
      </c>
    </row>
    <row r="7">
      <c r="A7" t="n">
        <v>41</v>
      </c>
      <c r="B7" t="inlineStr">
        <is>
          <t>Power &amp; Utilities</t>
        </is>
      </c>
      <c r="C7" t="inlineStr">
        <is>
          <t>JSWENERGY</t>
        </is>
      </c>
      <c r="D7" t="n">
        <v>0</v>
      </c>
      <c r="E7" t="n">
        <v>689</v>
      </c>
      <c r="F7" t="inlineStr">
        <is>
          <t>Mar 2024</t>
        </is>
      </c>
      <c r="G7" t="n">
        <v>15.01828312728539</v>
      </c>
      <c r="H7" t="n">
        <v>46.85704335713042</v>
      </c>
      <c r="I7" t="n">
        <v>8.280529953917052</v>
      </c>
      <c r="J7" t="n">
        <v>1.515600998463902</v>
      </c>
      <c r="K7" t="n">
        <v>2.851436921578178</v>
      </c>
      <c r="L7" t="n">
        <v>0.1988332438935724</v>
      </c>
      <c r="M7" t="n">
        <v>-1963</v>
      </c>
      <c r="N7" t="n">
        <v>71.36514017064252</v>
      </c>
      <c r="O7" t="n">
        <v>10</v>
      </c>
      <c r="P7" t="n">
        <v>20832</v>
      </c>
      <c r="Q7" t="n">
        <v>19</v>
      </c>
      <c r="R7" t="n">
        <v>31573</v>
      </c>
      <c r="S7" t="n">
        <v>3.613913043478261</v>
      </c>
      <c r="T7" t="n">
        <v>6.65229055347587</v>
      </c>
      <c r="U7" t="inlineStr">
        <is>
          <t>NORMAL</t>
        </is>
      </c>
      <c r="V7" t="n">
        <v>12.95829727171125</v>
      </c>
      <c r="W7" t="inlineStr">
        <is>
          <t>NORMAL</t>
        </is>
      </c>
      <c r="X7" t="n">
        <v>9.460878422315757</v>
      </c>
      <c r="Y7" t="inlineStr">
        <is>
          <t>NORMAL</t>
        </is>
      </c>
      <c r="Z7" t="n">
        <v>0</v>
      </c>
      <c r="AA7" t="n">
        <v>2024</v>
      </c>
      <c r="AB7" s="4" t="n">
        <v>0.5714</v>
      </c>
      <c r="AC7" s="4" t="n">
        <v>0.4286</v>
      </c>
      <c r="AD7" s="4" t="n">
        <v>0.6</v>
      </c>
      <c r="AE7" s="4" t="n">
        <v>0.2857</v>
      </c>
      <c r="AF7" s="4" t="n">
        <v>0.2857</v>
      </c>
      <c r="AG7" s="4" t="n">
        <v>0.5714</v>
      </c>
      <c r="AH7" s="4" t="n">
        <v>0.6</v>
      </c>
      <c r="AI7" s="4" t="n">
        <v>0.2857</v>
      </c>
      <c r="AJ7" s="5" t="n">
        <v>0.1429</v>
      </c>
      <c r="AK7" s="4" t="n">
        <v>0.4286</v>
      </c>
    </row>
    <row r="8">
      <c r="A8" t="n">
        <v>42</v>
      </c>
      <c r="B8" t="inlineStr">
        <is>
          <t>Power &amp; Utilities</t>
        </is>
      </c>
      <c r="C8" t="inlineStr">
        <is>
          <t>ADANIGREEN</t>
        </is>
      </c>
      <c r="D8" t="n">
        <v>0</v>
      </c>
      <c r="E8" t="n">
        <v>46</v>
      </c>
      <c r="F8" t="inlineStr">
        <is>
          <t>Mar 2024</t>
        </is>
      </c>
      <c r="G8" t="n">
        <v>13.66594360086768</v>
      </c>
      <c r="H8" t="n">
        <v>79.3709327548807</v>
      </c>
      <c r="I8" t="n">
        <v>12.81269066503966</v>
      </c>
      <c r="J8" t="n">
        <v>6.595281675818589</v>
      </c>
      <c r="K8" t="n">
        <v>1.713943268078306</v>
      </c>
      <c r="L8" t="n">
        <v>0.1046704357105555</v>
      </c>
      <c r="M8" t="n">
        <v>-13347</v>
      </c>
      <c r="N8" t="n">
        <v>228.4164859002169</v>
      </c>
      <c r="O8" t="n">
        <v>7</v>
      </c>
      <c r="P8" t="n">
        <v>9834</v>
      </c>
      <c r="Q8" t="n">
        <v>0</v>
      </c>
      <c r="R8" t="n">
        <v>64858</v>
      </c>
      <c r="S8" t="n">
        <v>6.121428571428571</v>
      </c>
      <c r="T8" t="n">
        <v>33.43381355873236</v>
      </c>
      <c r="U8" t="inlineStr">
        <is>
          <t>NORMAL</t>
        </is>
      </c>
      <c r="W8" t="inlineStr">
        <is>
          <t>TURNAROUND</t>
        </is>
      </c>
      <c r="Y8" t="inlineStr">
        <is>
          <t>ZERO_BASE</t>
        </is>
      </c>
      <c r="Z8" t="n">
        <v>0</v>
      </c>
      <c r="AA8" t="n">
        <v>2024</v>
      </c>
      <c r="AB8" s="4" t="n">
        <v>0.2857</v>
      </c>
      <c r="AC8" s="5" t="n">
        <v>0.1429</v>
      </c>
      <c r="AE8" s="5" t="n">
        <v>0.1429</v>
      </c>
      <c r="AF8" s="5" t="n">
        <v>0.1429</v>
      </c>
      <c r="AG8" s="4" t="n">
        <v>0.4286</v>
      </c>
      <c r="AI8" s="4" t="n">
        <v>0.4286</v>
      </c>
      <c r="AJ8" s="4" t="n">
        <v>0.4286</v>
      </c>
      <c r="AK8" s="3" t="n">
        <v>1</v>
      </c>
    </row>
    <row r="9">
      <c r="A9" s="6" t="inlineStr">
        <is>
          <t>Median</t>
        </is>
      </c>
      <c r="AB9">
        <f>MEDIAN(AB2:AB8)</f>
        <v/>
      </c>
      <c r="AC9">
        <f>MEDIAN(AC2:AC8)</f>
        <v/>
      </c>
      <c r="AD9">
        <f>MEDIAN(AD2:AD8)</f>
        <v/>
      </c>
      <c r="AE9">
        <f>MEDIAN(AE2:AE8)</f>
        <v/>
      </c>
      <c r="AF9">
        <f>MEDIAN(AF2:AF8)</f>
        <v/>
      </c>
      <c r="AG9">
        <f>MEDIAN(AG2:AG8)</f>
        <v/>
      </c>
      <c r="AH9">
        <f>MEDIAN(AH2:AH8)</f>
        <v/>
      </c>
      <c r="AI9">
        <f>MEDIAN(AI2:AI8)</f>
        <v/>
      </c>
      <c r="AJ9">
        <f>MEDIAN(AJ2:AJ8)</f>
        <v/>
      </c>
      <c r="AK9">
        <f>MEDIAN(AK2:AK8)</f>
        <v/>
      </c>
    </row>
  </sheetData>
  <autoFilter ref="A1:AK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12" customWidth="1" min="3" max="3"/>
    <col width="14" customWidth="1" min="4" max="4"/>
    <col width="6" customWidth="1" min="5" max="5"/>
    <col width="10" customWidth="1" min="6" max="6"/>
    <col width="23" customWidth="1" min="7" max="7"/>
    <col width="24" customWidth="1" min="8" max="8"/>
    <col width="22" customWidth="1" min="9" max="9"/>
    <col width="19" customWidth="1" min="10" max="10"/>
    <col width="19" customWidth="1" min="11" max="11"/>
    <col width="20" customWidth="1" min="12" max="12"/>
    <col width="19" customWidth="1" min="13" max="13"/>
    <col width="19" customWidth="1" min="14" max="14"/>
    <col width="20" customWidth="1" min="15" max="15"/>
    <col width="22" customWidth="1" min="16" max="16"/>
    <col width="24" customWidth="1" min="17" max="17"/>
    <col width="15" customWidth="1" min="18" max="18"/>
    <col width="24" customWidth="1" min="19" max="19"/>
    <col width="19" customWidth="1" min="20" max="20"/>
    <col width="23" customWidth="1" min="21" max="21"/>
    <col width="19" customWidth="1" min="22" max="22"/>
    <col width="19" customWidth="1" min="23" max="23"/>
    <col width="19" customWidth="1" min="24" max="24"/>
    <col width="19" customWidth="1" min="25" max="25"/>
    <col width="24" customWidth="1" min="26" max="26"/>
    <col width="10" customWidth="1" min="27" max="27"/>
    <col width="24" customWidth="1" min="28" max="28"/>
    <col width="24" customWidth="1" min="29" max="29"/>
    <col width="23" customWidth="1" min="30" max="30"/>
    <col width="24" customWidth="1" min="31" max="31"/>
    <col width="24" customWidth="1" min="32" max="32"/>
    <col width="24" customWidth="1" min="33" max="33"/>
    <col width="23" customWidth="1" min="34" max="34"/>
    <col width="24" customWidth="1" min="35" max="35"/>
    <col width="24" customWidth="1" min="36" max="36"/>
    <col width="24" customWidth="1" min="37" max="37"/>
  </cols>
  <sheetData>
    <row r="1">
      <c r="A1" s="1" t="inlineStr">
        <is>
          <t>id_x</t>
        </is>
      </c>
      <c r="B1" s="1" t="inlineStr">
        <is>
          <t>peer_group_name</t>
        </is>
      </c>
      <c r="C1" s="1" t="inlineStr">
        <is>
          <t>company_id</t>
        </is>
      </c>
      <c r="D1" s="1" t="inlineStr">
        <is>
          <t>is_benchmark</t>
        </is>
      </c>
      <c r="E1" s="1" t="inlineStr">
        <is>
          <t>id_y</t>
        </is>
      </c>
      <c r="F1" s="1" t="inlineStr">
        <is>
          <t>year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return_on_equity_pct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total_debt_cr</t>
        </is>
      </c>
      <c r="S1" s="1" t="inlineStr">
        <is>
          <t>cash_from_operations_cr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pat_cagr_5yr</t>
        </is>
      </c>
      <c r="W1" s="1" t="inlineStr">
        <is>
          <t>pat_cagr_5yr_flag</t>
        </is>
      </c>
      <c r="X1" s="1" t="inlineStr">
        <is>
          <t>eps_cagr_5yr</t>
        </is>
      </c>
      <c r="Y1" s="1" t="inlineStr">
        <is>
          <t>eps_cagr_5yr_flag</t>
        </is>
      </c>
      <c r="Z1" s="1" t="inlineStr">
        <is>
          <t>composite_quality_score</t>
        </is>
      </c>
      <c r="AA1" s="1" t="inlineStr">
        <is>
          <t>year_num</t>
        </is>
      </c>
      <c r="AB1" s="1" t="inlineStr">
        <is>
          <t>asset_turnover_pct_rank</t>
        </is>
      </c>
      <c r="AC1" s="1" t="inlineStr">
        <is>
          <t>debt_to_equity_pct_rank</t>
        </is>
      </c>
      <c r="AD1" s="1" t="inlineStr">
        <is>
          <t>eps_cagr_5yr_pct_rank</t>
        </is>
      </c>
      <c r="AE1" s="1" t="inlineStr">
        <is>
          <t>free_cash_flow_cr_pct_rank</t>
        </is>
      </c>
      <c r="AF1" s="1" t="inlineStr">
        <is>
          <t>interest_coverage_pct_rank</t>
        </is>
      </c>
      <c r="AG1" s="1" t="inlineStr">
        <is>
          <t>net_profit_margin_pct_pct_rank</t>
        </is>
      </c>
      <c r="AH1" s="1" t="inlineStr">
        <is>
          <t>pat_cagr_5yr_pct_rank</t>
        </is>
      </c>
      <c r="AI1" s="1" t="inlineStr">
        <is>
          <t>return_on_capital_employed_pct_pct_rank</t>
        </is>
      </c>
      <c r="AJ1" s="1" t="inlineStr">
        <is>
          <t>return_on_equity_pct_pct_rank</t>
        </is>
      </c>
      <c r="AK1" s="1" t="inlineStr">
        <is>
          <t>revenue_cagr_5yr_pct_rank</t>
        </is>
      </c>
    </row>
    <row r="2">
      <c r="A2" s="2" t="n">
        <v>1</v>
      </c>
      <c r="B2" s="2" t="inlineStr">
        <is>
          <t>Private Banks</t>
        </is>
      </c>
      <c r="C2" s="2" t="inlineStr">
        <is>
          <t>HDFCBANK</t>
        </is>
      </c>
      <c r="D2" s="2" t="n">
        <v>1</v>
      </c>
      <c r="E2" s="2" t="n">
        <v>494</v>
      </c>
      <c r="F2" s="2" t="inlineStr">
        <is>
          <t>Mar 2024</t>
        </is>
      </c>
      <c r="G2" s="2" t="n">
        <v>23.07288232992184</v>
      </c>
      <c r="H2" s="2" t="n">
        <v>61.41252040373843</v>
      </c>
      <c r="I2" s="2" t="n">
        <v>14.33974005030719</v>
      </c>
      <c r="J2" s="2" t="n">
        <v>6.808786667718385</v>
      </c>
      <c r="K2" s="2" t="n">
        <v>1.400768822479211</v>
      </c>
      <c r="L2" s="2" t="n">
        <v>0.0703809791786698</v>
      </c>
      <c r="M2" s="2" t="n">
        <v>35669</v>
      </c>
      <c r="N2" s="2" t="n">
        <v>5.852303374945795</v>
      </c>
      <c r="O2" s="2" t="n">
        <v>84</v>
      </c>
      <c r="P2" s="2" t="n">
        <v>456396</v>
      </c>
      <c r="Q2" s="2" t="n">
        <v>23</v>
      </c>
      <c r="R2" s="2" t="n">
        <v>3107503</v>
      </c>
      <c r="S2" s="2" t="n">
        <v>0.2913699844146319</v>
      </c>
      <c r="T2" s="2" t="n">
        <v>21.90978503791152</v>
      </c>
      <c r="U2" s="2" t="inlineStr">
        <is>
          <t>NORMAL</t>
        </is>
      </c>
      <c r="V2" s="2" t="n">
        <v>21.46443435813208</v>
      </c>
      <c r="W2" s="2" t="inlineStr">
        <is>
          <t>NORMAL</t>
        </is>
      </c>
      <c r="X2" s="2" t="n">
        <v>12.72345138316673</v>
      </c>
      <c r="Y2" s="2" t="inlineStr">
        <is>
          <t>NORMAL</t>
        </is>
      </c>
      <c r="Z2" s="2" t="n">
        <v>0</v>
      </c>
      <c r="AA2" s="2" t="n">
        <v>2024</v>
      </c>
      <c r="AB2" s="4" t="n">
        <v>0.4</v>
      </c>
      <c r="AC2" s="4" t="n">
        <v>0.6</v>
      </c>
      <c r="AD2" s="4" t="n">
        <v>0.4</v>
      </c>
      <c r="AE2" s="3" t="n">
        <v>1</v>
      </c>
      <c r="AF2" s="4" t="n">
        <v>0.6</v>
      </c>
      <c r="AG2" s="4" t="n">
        <v>0.6</v>
      </c>
      <c r="AH2" s="4" t="n">
        <v>0.6</v>
      </c>
      <c r="AI2" s="4" t="n">
        <v>0.6</v>
      </c>
      <c r="AJ2" s="4" t="n">
        <v>0.6</v>
      </c>
      <c r="AK2" s="3" t="n">
        <v>1</v>
      </c>
    </row>
    <row r="3">
      <c r="A3" t="n">
        <v>2</v>
      </c>
      <c r="B3" t="inlineStr">
        <is>
          <t>Private Banks</t>
        </is>
      </c>
      <c r="C3" t="inlineStr">
        <is>
          <t>ICICIBANK</t>
        </is>
      </c>
      <c r="D3" t="n">
        <v>0</v>
      </c>
      <c r="E3" t="n">
        <v>558</v>
      </c>
      <c r="F3" t="inlineStr">
        <is>
          <t>Mar 2024</t>
        </is>
      </c>
      <c r="G3" t="n">
        <v>28.8880112339828</v>
      </c>
      <c r="H3" t="n">
        <v>62.41380175029464</v>
      </c>
      <c r="I3" t="n">
        <v>17.99027109750765</v>
      </c>
      <c r="J3" t="n">
        <v>6.445624336310825</v>
      </c>
      <c r="K3" t="n">
        <v>1.300946133138182</v>
      </c>
      <c r="L3" t="n">
        <v>0.0674753591592102</v>
      </c>
      <c r="M3" t="n">
        <v>12547</v>
      </c>
      <c r="N3" t="n">
        <v>90.7350986734873</v>
      </c>
      <c r="O3" t="n">
        <v>63</v>
      </c>
      <c r="P3" t="n">
        <v>256144</v>
      </c>
      <c r="Q3" t="n">
        <v>16</v>
      </c>
      <c r="R3" t="n">
        <v>1651008</v>
      </c>
      <c r="S3" t="n">
        <v>3.413207178663657</v>
      </c>
      <c r="T3" t="n">
        <v>16.30648827058818</v>
      </c>
      <c r="U3" t="inlineStr">
        <is>
          <t>NORMAL</t>
        </is>
      </c>
      <c r="V3" t="n">
        <v>36.09917894535517</v>
      </c>
      <c r="W3" t="inlineStr">
        <is>
          <t>NORMAL</t>
        </is>
      </c>
      <c r="X3" t="n">
        <v>36.08221078587388</v>
      </c>
      <c r="Y3" t="inlineStr">
        <is>
          <t>NORMAL</t>
        </is>
      </c>
      <c r="Z3" t="n">
        <v>0</v>
      </c>
      <c r="AA3" t="n">
        <v>2024</v>
      </c>
      <c r="AB3" s="5" t="n">
        <v>0.2</v>
      </c>
      <c r="AC3" s="3" t="n">
        <v>0.8</v>
      </c>
      <c r="AD3" s="3" t="n">
        <v>0.8</v>
      </c>
      <c r="AE3" s="3" t="n">
        <v>0.8</v>
      </c>
      <c r="AF3" s="4" t="n">
        <v>0.4</v>
      </c>
      <c r="AG3" s="3" t="n">
        <v>0.8</v>
      </c>
      <c r="AH3" s="3" t="n">
        <v>0.8</v>
      </c>
      <c r="AI3" s="3" t="n">
        <v>0.8</v>
      </c>
      <c r="AJ3" s="3" t="n">
        <v>1</v>
      </c>
      <c r="AK3" s="3" t="n">
        <v>0.8</v>
      </c>
    </row>
    <row r="4">
      <c r="A4" t="n">
        <v>3</v>
      </c>
      <c r="B4" t="inlineStr">
        <is>
          <t>Private Banks</t>
        </is>
      </c>
      <c r="C4" t="inlineStr">
        <is>
          <t>AXISBANK</t>
        </is>
      </c>
      <c r="D4" t="n">
        <v>0</v>
      </c>
      <c r="E4" t="n">
        <v>145</v>
      </c>
      <c r="F4" t="inlineStr">
        <is>
          <t>Mar 2024</t>
        </is>
      </c>
      <c r="G4" t="n">
        <v>22.73130411725443</v>
      </c>
      <c r="H4" t="n">
        <v>34.69264599658038</v>
      </c>
      <c r="I4" t="n">
        <v>15.83271240518905</v>
      </c>
      <c r="J4" t="n">
        <v>8.249122739980766</v>
      </c>
      <c r="K4" t="n">
        <v>1.691203992514036</v>
      </c>
      <c r="L4" t="n">
        <v>0.0720367478374617</v>
      </c>
      <c r="M4" t="n">
        <v>-14556</v>
      </c>
      <c r="N4" t="n">
        <v>8.229937185125584</v>
      </c>
      <c r="O4" t="n">
        <v>81</v>
      </c>
      <c r="P4" t="n">
        <v>157023</v>
      </c>
      <c r="Q4" t="n">
        <v>1</v>
      </c>
      <c r="R4" t="n">
        <v>1295302</v>
      </c>
      <c r="S4" t="n">
        <v>-0.2234423394071035</v>
      </c>
      <c r="T4" t="n">
        <v>14.01146546303258</v>
      </c>
      <c r="U4" t="inlineStr">
        <is>
          <t>NORMAL</t>
        </is>
      </c>
      <c r="V4" t="n">
        <v>74.58109013780603</v>
      </c>
      <c r="W4" t="inlineStr">
        <is>
          <t>NORMAL</t>
        </is>
      </c>
      <c r="X4" t="n">
        <v>69.92353528813027</v>
      </c>
      <c r="Y4" t="inlineStr">
        <is>
          <t>NORMAL</t>
        </is>
      </c>
      <c r="Z4" t="n">
        <v>0</v>
      </c>
      <c r="AA4" t="n">
        <v>2024</v>
      </c>
      <c r="AB4" s="4" t="n">
        <v>0.6</v>
      </c>
      <c r="AC4" s="5" t="n">
        <v>0.2</v>
      </c>
      <c r="AD4" s="3" t="n">
        <v>1</v>
      </c>
      <c r="AE4" s="4" t="n">
        <v>0.4</v>
      </c>
      <c r="AF4" s="3" t="n">
        <v>0.8</v>
      </c>
      <c r="AG4" s="4" t="n">
        <v>0.4</v>
      </c>
      <c r="AH4" s="3" t="n">
        <v>1</v>
      </c>
      <c r="AI4" s="5" t="n">
        <v>0.2</v>
      </c>
      <c r="AJ4" s="3" t="n">
        <v>0.8</v>
      </c>
      <c r="AK4" s="4" t="n">
        <v>0.6</v>
      </c>
    </row>
    <row r="5">
      <c r="A5" t="n">
        <v>4</v>
      </c>
      <c r="B5" t="inlineStr">
        <is>
          <t>Private Banks</t>
        </is>
      </c>
      <c r="C5" t="inlineStr">
        <is>
          <t>KOTAKBANK</t>
        </is>
      </c>
      <c r="D5" t="n">
        <v>0</v>
      </c>
      <c r="E5" t="n">
        <v>715</v>
      </c>
      <c r="F5" t="inlineStr">
        <is>
          <t>Mar 2024</t>
        </is>
      </c>
      <c r="G5" t="n">
        <v>32.38615146611662</v>
      </c>
      <c r="H5" t="n">
        <v>83.66733645109092</v>
      </c>
      <c r="I5" t="n">
        <v>14.01301818853291</v>
      </c>
      <c r="J5" t="n">
        <v>4.003739266919029</v>
      </c>
      <c r="K5" t="n">
        <v>1.236375108447038</v>
      </c>
      <c r="L5" t="n">
        <v>0.07325702420450531</v>
      </c>
      <c r="M5" t="n">
        <v>6766</v>
      </c>
      <c r="N5" t="n">
        <v>15.85966534487971</v>
      </c>
      <c r="O5" t="n">
        <v>92</v>
      </c>
      <c r="P5" t="n">
        <v>129972</v>
      </c>
      <c r="Q5" t="n">
        <v>2</v>
      </c>
      <c r="R5" t="n">
        <v>520374</v>
      </c>
      <c r="S5" t="n">
        <v>0.8611980453522209</v>
      </c>
      <c r="T5" t="n">
        <v>13.85873980193633</v>
      </c>
      <c r="U5" t="inlineStr">
        <is>
          <t>NORMAL</t>
        </is>
      </c>
      <c r="V5" t="n">
        <v>21.26159489077741</v>
      </c>
      <c r="W5" t="inlineStr">
        <is>
          <t>NORMAL</t>
        </is>
      </c>
      <c r="X5" t="n">
        <v>20.21902071176251</v>
      </c>
      <c r="Y5" t="inlineStr">
        <is>
          <t>NORMAL</t>
        </is>
      </c>
      <c r="Z5" t="n">
        <v>0</v>
      </c>
      <c r="AA5" t="n">
        <v>2024</v>
      </c>
      <c r="AB5" s="3" t="n">
        <v>0.8</v>
      </c>
      <c r="AC5" s="3" t="n">
        <v>1</v>
      </c>
      <c r="AD5" s="4" t="n">
        <v>0.6</v>
      </c>
      <c r="AE5" s="4" t="n">
        <v>0.6</v>
      </c>
      <c r="AF5" s="5" t="n">
        <v>0.2</v>
      </c>
      <c r="AG5" s="3" t="n">
        <v>1</v>
      </c>
      <c r="AH5" s="4" t="n">
        <v>0.4</v>
      </c>
      <c r="AI5" s="3" t="n">
        <v>1</v>
      </c>
      <c r="AJ5" s="5" t="n">
        <v>0.2</v>
      </c>
      <c r="AK5" s="4" t="n">
        <v>0.4</v>
      </c>
    </row>
    <row r="6">
      <c r="A6" t="n">
        <v>5</v>
      </c>
      <c r="B6" t="inlineStr">
        <is>
          <t>Private Banks</t>
        </is>
      </c>
      <c r="C6" t="inlineStr">
        <is>
          <t>INDUSINDBK</t>
        </is>
      </c>
      <c r="D6" t="n">
        <v>0</v>
      </c>
      <c r="E6" t="n">
        <v>597</v>
      </c>
      <c r="F6" t="inlineStr">
        <is>
          <t>Mar 2024</t>
        </is>
      </c>
      <c r="G6" t="n">
        <v>19.56369677362945</v>
      </c>
      <c r="H6" t="n">
        <v>38.55469091544986</v>
      </c>
      <c r="I6" t="n">
        <v>14.25227319776422</v>
      </c>
      <c r="J6" t="n">
        <v>6.885742949503957</v>
      </c>
      <c r="K6" t="n">
        <v>1.879527055815935</v>
      </c>
      <c r="L6" t="n">
        <v>0.08884228106460031</v>
      </c>
      <c r="M6" t="n">
        <v>-17468</v>
      </c>
      <c r="N6" t="n">
        <v>1.366179942292559</v>
      </c>
      <c r="O6" t="n">
        <v>115</v>
      </c>
      <c r="P6" t="n">
        <v>62797</v>
      </c>
      <c r="Q6" t="n">
        <v>14</v>
      </c>
      <c r="R6" t="n">
        <v>432404</v>
      </c>
      <c r="S6" t="n">
        <v>-1.881899441340782</v>
      </c>
      <c r="T6" t="n">
        <v>11.229271985817</v>
      </c>
      <c r="U6" t="inlineStr">
        <is>
          <t>NORMAL</t>
        </is>
      </c>
      <c r="V6" t="n">
        <v>12.95031715583552</v>
      </c>
      <c r="W6" t="inlineStr">
        <is>
          <t>NORMAL</t>
        </is>
      </c>
      <c r="X6" t="n">
        <v>10.19722877214802</v>
      </c>
      <c r="Y6" t="inlineStr">
        <is>
          <t>NORMAL</t>
        </is>
      </c>
      <c r="Z6" t="n">
        <v>0</v>
      </c>
      <c r="AA6" t="n">
        <v>2024</v>
      </c>
      <c r="AB6" s="3" t="n">
        <v>1</v>
      </c>
      <c r="AC6" s="4" t="n">
        <v>0.4</v>
      </c>
      <c r="AD6" s="5" t="n">
        <v>0.2</v>
      </c>
      <c r="AE6" s="5" t="n">
        <v>0.2</v>
      </c>
      <c r="AF6" s="3" t="n">
        <v>1</v>
      </c>
      <c r="AG6" s="5" t="n">
        <v>0.2</v>
      </c>
      <c r="AH6" s="5" t="n">
        <v>0.2</v>
      </c>
      <c r="AI6" s="4" t="n">
        <v>0.4</v>
      </c>
      <c r="AJ6" s="4" t="n">
        <v>0.4</v>
      </c>
      <c r="AK6" s="5" t="n">
        <v>0.2</v>
      </c>
    </row>
    <row r="7">
      <c r="A7" s="6" t="inlineStr">
        <is>
          <t>Median</t>
        </is>
      </c>
      <c r="AB7">
        <f>MEDIAN(AB2:AB6)</f>
        <v/>
      </c>
      <c r="AC7">
        <f>MEDIAN(AC2:AC6)</f>
        <v/>
      </c>
      <c r="AD7">
        <f>MEDIAN(AD2:AD6)</f>
        <v/>
      </c>
      <c r="AE7">
        <f>MEDIAN(AE2:AE6)</f>
        <v/>
      </c>
      <c r="AF7">
        <f>MEDIAN(AF2:AF6)</f>
        <v/>
      </c>
      <c r="AG7">
        <f>MEDIAN(AG2:AG6)</f>
        <v/>
      </c>
      <c r="AH7">
        <f>MEDIAN(AH2:AH6)</f>
        <v/>
      </c>
      <c r="AI7">
        <f>MEDIAN(AI2:AI6)</f>
        <v/>
      </c>
      <c r="AJ7">
        <f>MEDIAN(AJ2:AJ6)</f>
        <v/>
      </c>
      <c r="AK7">
        <f>MEDIAN(AK2:AK6)</f>
        <v/>
      </c>
    </row>
  </sheetData>
  <autoFilter ref="A1:AK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12" customWidth="1" min="3" max="3"/>
    <col width="14" customWidth="1" min="4" max="4"/>
    <col width="6" customWidth="1" min="5" max="5"/>
    <col width="10" customWidth="1" min="6" max="6"/>
    <col width="23" customWidth="1" min="7" max="7"/>
    <col width="24" customWidth="1" min="8" max="8"/>
    <col width="22" customWidth="1" min="9" max="9"/>
    <col width="19" customWidth="1" min="10" max="10"/>
    <col width="20" customWidth="1" min="11" max="11"/>
    <col width="20" customWidth="1" min="12" max="12"/>
    <col width="19" customWidth="1" min="13" max="13"/>
    <col width="19" customWidth="1" min="14" max="14"/>
    <col width="20" customWidth="1" min="15" max="15"/>
    <col width="22" customWidth="1" min="16" max="16"/>
    <col width="24" customWidth="1" min="17" max="17"/>
    <col width="15" customWidth="1" min="18" max="18"/>
    <col width="24" customWidth="1" min="19" max="19"/>
    <col width="19" customWidth="1" min="20" max="20"/>
    <col width="23" customWidth="1" min="21" max="21"/>
    <col width="19" customWidth="1" min="22" max="22"/>
    <col width="19" customWidth="1" min="23" max="23"/>
    <col width="19" customWidth="1" min="24" max="24"/>
    <col width="19" customWidth="1" min="25" max="25"/>
    <col width="24" customWidth="1" min="26" max="26"/>
    <col width="10" customWidth="1" min="27" max="27"/>
    <col width="24" customWidth="1" min="28" max="28"/>
    <col width="24" customWidth="1" min="29" max="29"/>
    <col width="23" customWidth="1" min="30" max="30"/>
    <col width="24" customWidth="1" min="31" max="31"/>
    <col width="24" customWidth="1" min="32" max="32"/>
    <col width="24" customWidth="1" min="33" max="33"/>
    <col width="23" customWidth="1" min="34" max="34"/>
    <col width="24" customWidth="1" min="35" max="35"/>
    <col width="24" customWidth="1" min="36" max="36"/>
    <col width="24" customWidth="1" min="37" max="37"/>
  </cols>
  <sheetData>
    <row r="1">
      <c r="A1" s="1" t="inlineStr">
        <is>
          <t>id_x</t>
        </is>
      </c>
      <c r="B1" s="1" t="inlineStr">
        <is>
          <t>peer_group_name</t>
        </is>
      </c>
      <c r="C1" s="1" t="inlineStr">
        <is>
          <t>company_id</t>
        </is>
      </c>
      <c r="D1" s="1" t="inlineStr">
        <is>
          <t>is_benchmark</t>
        </is>
      </c>
      <c r="E1" s="1" t="inlineStr">
        <is>
          <t>id_y</t>
        </is>
      </c>
      <c r="F1" s="1" t="inlineStr">
        <is>
          <t>year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return_on_equity_pct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total_debt_cr</t>
        </is>
      </c>
      <c r="S1" s="1" t="inlineStr">
        <is>
          <t>cash_from_operations_cr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pat_cagr_5yr</t>
        </is>
      </c>
      <c r="W1" s="1" t="inlineStr">
        <is>
          <t>pat_cagr_5yr_flag</t>
        </is>
      </c>
      <c r="X1" s="1" t="inlineStr">
        <is>
          <t>eps_cagr_5yr</t>
        </is>
      </c>
      <c r="Y1" s="1" t="inlineStr">
        <is>
          <t>eps_cagr_5yr_flag</t>
        </is>
      </c>
      <c r="Z1" s="1" t="inlineStr">
        <is>
          <t>composite_quality_score</t>
        </is>
      </c>
      <c r="AA1" s="1" t="inlineStr">
        <is>
          <t>year_num</t>
        </is>
      </c>
      <c r="AB1" s="1" t="inlineStr">
        <is>
          <t>asset_turnover_pct_rank</t>
        </is>
      </c>
      <c r="AC1" s="1" t="inlineStr">
        <is>
          <t>debt_to_equity_pct_rank</t>
        </is>
      </c>
      <c r="AD1" s="1" t="inlineStr">
        <is>
          <t>eps_cagr_5yr_pct_rank</t>
        </is>
      </c>
      <c r="AE1" s="1" t="inlineStr">
        <is>
          <t>free_cash_flow_cr_pct_rank</t>
        </is>
      </c>
      <c r="AF1" s="1" t="inlineStr">
        <is>
          <t>interest_coverage_pct_rank</t>
        </is>
      </c>
      <c r="AG1" s="1" t="inlineStr">
        <is>
          <t>net_profit_margin_pct_pct_rank</t>
        </is>
      </c>
      <c r="AH1" s="1" t="inlineStr">
        <is>
          <t>pat_cagr_5yr_pct_rank</t>
        </is>
      </c>
      <c r="AI1" s="1" t="inlineStr">
        <is>
          <t>return_on_capital_employed_pct_pct_rank</t>
        </is>
      </c>
      <c r="AJ1" s="1" t="inlineStr">
        <is>
          <t>return_on_equity_pct_pct_rank</t>
        </is>
      </c>
      <c r="AK1" s="1" t="inlineStr">
        <is>
          <t>revenue_cagr_5yr_pct_rank</t>
        </is>
      </c>
    </row>
    <row r="2">
      <c r="A2" s="2" t="n">
        <v>6</v>
      </c>
      <c r="B2" s="2" t="inlineStr">
        <is>
          <t>Public Sector Banks</t>
        </is>
      </c>
      <c r="C2" s="2" t="inlineStr">
        <is>
          <t>SBIN</t>
        </is>
      </c>
      <c r="D2" s="2" t="n">
        <v>1</v>
      </c>
      <c r="E2" s="2" t="n">
        <v>969</v>
      </c>
      <c r="F2" s="2" t="inlineStr">
        <is>
          <t>Mar 2024</t>
        </is>
      </c>
      <c r="G2" s="2" t="n">
        <v>15.83441297482405</v>
      </c>
      <c r="H2" s="2" t="n">
        <v>-13.72916899102664</v>
      </c>
      <c r="I2" s="2" t="inlineStr"/>
      <c r="J2" s="2" t="inlineStr"/>
      <c r="K2" s="2" t="n">
        <v>0.3660986540179259</v>
      </c>
      <c r="L2" s="2" t="inlineStr"/>
      <c r="M2" s="2" t="n">
        <v>18156</v>
      </c>
      <c r="N2" s="2" t="n">
        <v>0.791458802474561</v>
      </c>
      <c r="O2" s="2" t="n">
        <v>75</v>
      </c>
      <c r="P2" s="2" t="inlineStr"/>
      <c r="Q2" s="2" t="n">
        <v>18</v>
      </c>
      <c r="R2" s="2" t="inlineStr"/>
      <c r="S2" s="2" t="n">
        <v>0.3110593445781746</v>
      </c>
      <c r="T2" s="2" t="n">
        <v>11.71850447889044</v>
      </c>
      <c r="U2" s="2" t="inlineStr">
        <is>
          <t>NORMAL</t>
        </is>
      </c>
      <c r="V2" s="2" t="n">
        <v>28.63666622771517</v>
      </c>
      <c r="W2" s="2" t="inlineStr">
        <is>
          <t>NORMAL</t>
        </is>
      </c>
      <c r="X2" s="2" t="n">
        <v>29.45936165164078</v>
      </c>
      <c r="Y2" s="2" t="inlineStr">
        <is>
          <t>NORMAL</t>
        </is>
      </c>
      <c r="Z2" s="2" t="n">
        <v>0</v>
      </c>
      <c r="AA2" s="2" t="n">
        <v>2024</v>
      </c>
      <c r="AB2" s="2" t="inlineStr"/>
      <c r="AC2" s="2" t="inlineStr"/>
      <c r="AD2" s="4" t="n">
        <v>0.3333</v>
      </c>
      <c r="AE2" s="3" t="n">
        <v>1</v>
      </c>
      <c r="AF2" s="4" t="n">
        <v>0.3333</v>
      </c>
      <c r="AG2" s="3" t="n">
        <v>0.75</v>
      </c>
      <c r="AH2" s="4" t="n">
        <v>0.3333</v>
      </c>
      <c r="AI2" s="2" t="inlineStr"/>
      <c r="AJ2" s="2" t="inlineStr"/>
      <c r="AK2" s="4" t="n">
        <v>0.5</v>
      </c>
    </row>
    <row r="3">
      <c r="A3" t="n">
        <v>7</v>
      </c>
      <c r="B3" t="inlineStr">
        <is>
          <t>Public Sector Banks</t>
        </is>
      </c>
      <c r="C3" t="inlineStr">
        <is>
          <t>BANKBARODA</t>
        </is>
      </c>
      <c r="D3" t="n">
        <v>0</v>
      </c>
      <c r="E3" t="n">
        <v>195</v>
      </c>
      <c r="F3" t="inlineStr">
        <is>
          <t>Mar 2024</t>
        </is>
      </c>
      <c r="G3" t="n">
        <v>15.93948250956673</v>
      </c>
      <c r="H3" t="n">
        <v>37.4889127294537</v>
      </c>
      <c r="I3" t="n">
        <v>15.7618637908999</v>
      </c>
      <c r="J3" t="n">
        <v>12.14371872728943</v>
      </c>
      <c r="K3" t="n">
        <v>1.896747724261721</v>
      </c>
      <c r="L3" t="n">
        <v>0.0715378223625568</v>
      </c>
      <c r="M3" t="n">
        <v>-7559</v>
      </c>
      <c r="N3" t="n">
        <v>1.085496583008811</v>
      </c>
      <c r="O3" t="n">
        <v>36</v>
      </c>
      <c r="P3" t="n">
        <v>119713</v>
      </c>
      <c r="Q3" t="n">
        <v>21</v>
      </c>
      <c r="R3" t="n">
        <v>1453761</v>
      </c>
      <c r="S3" t="n">
        <v>-0.3325030473263024</v>
      </c>
      <c r="T3" t="n">
        <v>9.49020043646984</v>
      </c>
      <c r="U3" t="inlineStr">
        <is>
          <t>NORMAL</t>
        </is>
      </c>
      <c r="V3" t="n">
        <v>83.01864727574007</v>
      </c>
      <c r="W3" t="inlineStr">
        <is>
          <t>NORMAL</t>
        </is>
      </c>
      <c r="X3" t="n">
        <v>81.13689640194657</v>
      </c>
      <c r="Y3" t="inlineStr">
        <is>
          <t>NORMAL</t>
        </is>
      </c>
      <c r="Z3" t="n">
        <v>0</v>
      </c>
      <c r="AA3" t="n">
        <v>2024</v>
      </c>
      <c r="AB3" s="4" t="n">
        <v>0.3333</v>
      </c>
      <c r="AC3" s="4" t="n">
        <v>0.6667</v>
      </c>
      <c r="AD3" s="3" t="n">
        <v>1</v>
      </c>
      <c r="AE3" s="4" t="n">
        <v>0.5</v>
      </c>
      <c r="AF3" s="3" t="n">
        <v>1</v>
      </c>
      <c r="AG3" s="3" t="n">
        <v>1</v>
      </c>
      <c r="AH3" s="4" t="n">
        <v>0.6667</v>
      </c>
      <c r="AI3" s="4" t="n">
        <v>0.5</v>
      </c>
      <c r="AJ3" s="4" t="n">
        <v>0.3333</v>
      </c>
      <c r="AK3" s="5" t="n">
        <v>0.25</v>
      </c>
    </row>
    <row r="4">
      <c r="A4" t="n">
        <v>8</v>
      </c>
      <c r="B4" t="inlineStr">
        <is>
          <t>Public Sector Banks</t>
        </is>
      </c>
      <c r="C4" t="inlineStr">
        <is>
          <t>CANBK</t>
        </is>
      </c>
      <c r="D4" t="n">
        <v>0</v>
      </c>
      <c r="E4" t="n">
        <v>286</v>
      </c>
      <c r="F4" t="inlineStr">
        <is>
          <t>Mar 2024</t>
        </is>
      </c>
      <c r="G4" t="n">
        <v>13.9351604701454</v>
      </c>
      <c r="H4" t="n">
        <v>41.75390656810141</v>
      </c>
      <c r="I4" t="n">
        <v>16.71605179468811</v>
      </c>
      <c r="J4" t="n">
        <v>14.86741992554242</v>
      </c>
      <c r="K4" t="n">
        <v>1.610661174334986</v>
      </c>
      <c r="L4" t="n">
        <v>0.0719985042520674</v>
      </c>
      <c r="M4" t="n">
        <v>13296</v>
      </c>
      <c r="N4" t="n">
        <v>1.583438141857961</v>
      </c>
      <c r="O4" t="n">
        <v>17</v>
      </c>
      <c r="P4" t="n">
        <v>92133</v>
      </c>
      <c r="Q4" t="n">
        <v>19</v>
      </c>
      <c r="R4" t="n">
        <v>1369780</v>
      </c>
      <c r="S4" t="n">
        <v>0.976949548730602</v>
      </c>
      <c r="T4" t="n">
        <v>19.12988339935113</v>
      </c>
      <c r="U4" t="inlineStr">
        <is>
          <t>NORMAL</t>
        </is>
      </c>
      <c r="W4" t="inlineStr">
        <is>
          <t>TURNAROUND</t>
        </is>
      </c>
      <c r="Y4" t="inlineStr">
        <is>
          <t>TURNAROUND</t>
        </is>
      </c>
      <c r="Z4" t="n">
        <v>0</v>
      </c>
      <c r="AA4" t="n">
        <v>2024</v>
      </c>
      <c r="AB4" s="4" t="n">
        <v>0.6667</v>
      </c>
      <c r="AC4" s="4" t="n">
        <v>0.3333</v>
      </c>
      <c r="AE4" s="3" t="n">
        <v>0.75</v>
      </c>
      <c r="AF4" s="4" t="n">
        <v>0.6667</v>
      </c>
      <c r="AG4" s="4" t="n">
        <v>0.5</v>
      </c>
      <c r="AI4" s="3" t="n">
        <v>1</v>
      </c>
      <c r="AJ4" s="4" t="n">
        <v>0.6667</v>
      </c>
      <c r="AK4" s="3" t="n">
        <v>1</v>
      </c>
    </row>
    <row r="5">
      <c r="A5" t="n">
        <v>9</v>
      </c>
      <c r="B5" t="inlineStr">
        <is>
          <t>Public Sector Banks</t>
        </is>
      </c>
      <c r="C5" t="inlineStr">
        <is>
          <t>PNB</t>
        </is>
      </c>
      <c r="D5" t="n">
        <v>0</v>
      </c>
      <c r="E5" t="n">
        <v>904</v>
      </c>
      <c r="F5" t="inlineStr">
        <is>
          <t>Mar 2024</t>
        </is>
      </c>
      <c r="G5" t="n">
        <v>8.395910695456838</v>
      </c>
      <c r="I5" t="n">
        <v>61.32056519118731</v>
      </c>
      <c r="J5" t="n">
        <v>3.684256345007701</v>
      </c>
      <c r="L5" t="n">
        <v>1.50702629506294</v>
      </c>
      <c r="M5" t="n">
        <v>-29445</v>
      </c>
      <c r="N5" t="n">
        <v>1.380827946637326</v>
      </c>
      <c r="O5" t="n">
        <v>8</v>
      </c>
      <c r="P5" t="n">
        <v>14933</v>
      </c>
      <c r="Q5" t="n">
        <v>18</v>
      </c>
      <c r="R5" t="n">
        <v>55017</v>
      </c>
      <c r="S5" t="n">
        <v>-3.051108441629355</v>
      </c>
      <c r="T5" t="n">
        <v>16.15634843849509</v>
      </c>
      <c r="U5" t="inlineStr">
        <is>
          <t>NORMAL</t>
        </is>
      </c>
      <c r="V5" t="n">
        <v>97.39432352874068</v>
      </c>
      <c r="W5" t="inlineStr">
        <is>
          <t>NORMAL</t>
        </is>
      </c>
      <c r="X5" t="n">
        <v>67.02776523348103</v>
      </c>
      <c r="Y5" t="inlineStr">
        <is>
          <t>NORMAL</t>
        </is>
      </c>
      <c r="Z5" t="n">
        <v>0</v>
      </c>
      <c r="AA5" t="n">
        <v>2024</v>
      </c>
      <c r="AB5" s="3" t="n">
        <v>1</v>
      </c>
      <c r="AC5" s="3" t="n">
        <v>1</v>
      </c>
      <c r="AD5" s="4" t="n">
        <v>0.6667</v>
      </c>
      <c r="AE5" s="5" t="n">
        <v>0.25</v>
      </c>
      <c r="AG5" s="5" t="n">
        <v>0.25</v>
      </c>
      <c r="AH5" s="3" t="n">
        <v>1</v>
      </c>
      <c r="AJ5" s="3" t="n">
        <v>1</v>
      </c>
      <c r="AK5" s="3" t="n">
        <v>0.75</v>
      </c>
    </row>
    <row r="6">
      <c r="A6" s="6" t="inlineStr">
        <is>
          <t>Median</t>
        </is>
      </c>
      <c r="AB6">
        <f>MEDIAN(AB2:AB5)</f>
        <v/>
      </c>
      <c r="AC6">
        <f>MEDIAN(AC2:AC5)</f>
        <v/>
      </c>
      <c r="AD6">
        <f>MEDIAN(AD2:AD5)</f>
        <v/>
      </c>
      <c r="AE6">
        <f>MEDIAN(AE2:AE5)</f>
        <v/>
      </c>
      <c r="AF6">
        <f>MEDIAN(AF2:AF5)</f>
        <v/>
      </c>
      <c r="AG6">
        <f>MEDIAN(AG2:AG5)</f>
        <v/>
      </c>
      <c r="AH6">
        <f>MEDIAN(AH2:AH5)</f>
        <v/>
      </c>
      <c r="AI6">
        <f>MEDIAN(AI2:AI5)</f>
        <v/>
      </c>
      <c r="AJ6">
        <f>MEDIAN(AJ2:AJ5)</f>
        <v/>
      </c>
      <c r="AK6">
        <f>MEDIAN(AK2:AK5)</f>
        <v/>
      </c>
    </row>
  </sheetData>
  <autoFilter ref="A1:AK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12" customWidth="1" min="3" max="3"/>
    <col width="14" customWidth="1" min="4" max="4"/>
    <col width="6" customWidth="1" min="5" max="5"/>
    <col width="10" customWidth="1" min="6" max="6"/>
    <col width="23" customWidth="1" min="7" max="7"/>
    <col width="24" customWidth="1" min="8" max="8"/>
    <col width="22" customWidth="1" min="9" max="9"/>
    <col width="20" customWidth="1" min="10" max="10"/>
    <col width="19" customWidth="1" min="11" max="11"/>
    <col width="20" customWidth="1" min="12" max="12"/>
    <col width="19" customWidth="1" min="13" max="13"/>
    <col width="19" customWidth="1" min="14" max="14"/>
    <col width="20" customWidth="1" min="15" max="15"/>
    <col width="22" customWidth="1" min="16" max="16"/>
    <col width="24" customWidth="1" min="17" max="17"/>
    <col width="15" customWidth="1" min="18" max="18"/>
    <col width="24" customWidth="1" min="19" max="19"/>
    <col width="19" customWidth="1" min="20" max="20"/>
    <col width="23" customWidth="1" min="21" max="21"/>
    <col width="20" customWidth="1" min="22" max="22"/>
    <col width="19" customWidth="1" min="23" max="23"/>
    <col width="20" customWidth="1" min="24" max="24"/>
    <col width="19" customWidth="1" min="25" max="25"/>
    <col width="24" customWidth="1" min="26" max="26"/>
    <col width="10" customWidth="1" min="27" max="27"/>
    <col width="24" customWidth="1" min="28" max="28"/>
    <col width="24" customWidth="1" min="29" max="29"/>
    <col width="23" customWidth="1" min="30" max="30"/>
    <col width="24" customWidth="1" min="31" max="31"/>
    <col width="24" customWidth="1" min="32" max="32"/>
    <col width="24" customWidth="1" min="33" max="33"/>
    <col width="23" customWidth="1" min="34" max="34"/>
    <col width="24" customWidth="1" min="35" max="35"/>
    <col width="24" customWidth="1" min="36" max="36"/>
    <col width="24" customWidth="1" min="37" max="37"/>
  </cols>
  <sheetData>
    <row r="1">
      <c r="A1" s="1" t="inlineStr">
        <is>
          <t>id_x</t>
        </is>
      </c>
      <c r="B1" s="1" t="inlineStr">
        <is>
          <t>peer_group_name</t>
        </is>
      </c>
      <c r="C1" s="1" t="inlineStr">
        <is>
          <t>company_id</t>
        </is>
      </c>
      <c r="D1" s="1" t="inlineStr">
        <is>
          <t>is_benchmark</t>
        </is>
      </c>
      <c r="E1" s="1" t="inlineStr">
        <is>
          <t>id_y</t>
        </is>
      </c>
      <c r="F1" s="1" t="inlineStr">
        <is>
          <t>year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return_on_equity_pct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total_debt_cr</t>
        </is>
      </c>
      <c r="S1" s="1" t="inlineStr">
        <is>
          <t>cash_from_operations_cr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pat_cagr_5yr</t>
        </is>
      </c>
      <c r="W1" s="1" t="inlineStr">
        <is>
          <t>pat_cagr_5yr_flag</t>
        </is>
      </c>
      <c r="X1" s="1" t="inlineStr">
        <is>
          <t>eps_cagr_5yr</t>
        </is>
      </c>
      <c r="Y1" s="1" t="inlineStr">
        <is>
          <t>eps_cagr_5yr_flag</t>
        </is>
      </c>
      <c r="Z1" s="1" t="inlineStr">
        <is>
          <t>composite_quality_score</t>
        </is>
      </c>
      <c r="AA1" s="1" t="inlineStr">
        <is>
          <t>year_num</t>
        </is>
      </c>
      <c r="AB1" s="1" t="inlineStr">
        <is>
          <t>asset_turnover_pct_rank</t>
        </is>
      </c>
      <c r="AC1" s="1" t="inlineStr">
        <is>
          <t>debt_to_equity_pct_rank</t>
        </is>
      </c>
      <c r="AD1" s="1" t="inlineStr">
        <is>
          <t>eps_cagr_5yr_pct_rank</t>
        </is>
      </c>
      <c r="AE1" s="1" t="inlineStr">
        <is>
          <t>free_cash_flow_cr_pct_rank</t>
        </is>
      </c>
      <c r="AF1" s="1" t="inlineStr">
        <is>
          <t>interest_coverage_pct_rank</t>
        </is>
      </c>
      <c r="AG1" s="1" t="inlineStr">
        <is>
          <t>net_profit_margin_pct_pct_rank</t>
        </is>
      </c>
      <c r="AH1" s="1" t="inlineStr">
        <is>
          <t>pat_cagr_5yr_pct_rank</t>
        </is>
      </c>
      <c r="AI1" s="1" t="inlineStr">
        <is>
          <t>return_on_capital_employed_pct_pct_rank</t>
        </is>
      </c>
      <c r="AJ1" s="1" t="inlineStr">
        <is>
          <t>return_on_equity_pct_pct_rank</t>
        </is>
      </c>
      <c r="AK1" s="1" t="inlineStr">
        <is>
          <t>revenue_cagr_5yr_pct_rank</t>
        </is>
      </c>
    </row>
    <row r="2">
      <c r="A2" s="2" t="n">
        <v>43</v>
      </c>
      <c r="B2" s="2" t="inlineStr">
        <is>
          <t>Steel</t>
        </is>
      </c>
      <c r="C2" s="2" t="inlineStr">
        <is>
          <t>TATASTEEL</t>
        </is>
      </c>
      <c r="D2" s="2" t="n">
        <v>1</v>
      </c>
      <c r="E2" s="2" t="n">
        <v>1072</v>
      </c>
      <c r="F2" s="2" t="inlineStr">
        <is>
          <t>Mar 2024</t>
        </is>
      </c>
      <c r="G2" s="2" t="n">
        <v>-2.142504941724738</v>
      </c>
      <c r="H2" s="2" t="n">
        <v>9.708034611709159</v>
      </c>
      <c r="I2" s="2" t="n">
        <v>-5.334926929972293</v>
      </c>
      <c r="J2" s="2" t="n">
        <v>0.9461835171402184</v>
      </c>
      <c r="K2" s="2" t="n">
        <v>2.16342567927544</v>
      </c>
      <c r="L2" s="2" t="n">
        <v>0.8509498277091255</v>
      </c>
      <c r="M2" s="2" t="n">
        <v>6048</v>
      </c>
      <c r="N2" s="2" t="n">
        <v>6.219373306395661</v>
      </c>
      <c r="O2" s="2" t="n">
        <v>-4</v>
      </c>
      <c r="P2" s="2" t="n">
        <v>92035</v>
      </c>
      <c r="Q2" s="2" t="n">
        <v>-101</v>
      </c>
      <c r="R2" s="2" t="n">
        <v>87082</v>
      </c>
      <c r="S2" s="2" t="n">
        <v>-4.134623217922607</v>
      </c>
      <c r="T2" s="2" t="n">
        <v>9.590062609976924</v>
      </c>
      <c r="U2" s="2" t="inlineStr">
        <is>
          <t>NORMAL</t>
        </is>
      </c>
      <c r="V2" s="2" t="n">
        <v>16.57016977924395</v>
      </c>
      <c r="W2" s="2" t="inlineStr">
        <is>
          <t>NORMAL</t>
        </is>
      </c>
      <c r="X2" s="2" t="n">
        <v>14.86983549970351</v>
      </c>
      <c r="Y2" s="2" t="inlineStr">
        <is>
          <t>NORMAL</t>
        </is>
      </c>
      <c r="Z2" s="2" t="n">
        <v>0</v>
      </c>
      <c r="AA2" s="2" t="n">
        <v>2024</v>
      </c>
      <c r="AB2" s="3" t="n">
        <v>0.75</v>
      </c>
      <c r="AC2" s="4" t="n">
        <v>0.5</v>
      </c>
      <c r="AD2" s="4" t="n">
        <v>0.6667</v>
      </c>
      <c r="AE2" s="3" t="n">
        <v>0.75</v>
      </c>
      <c r="AF2" s="5" t="n">
        <v>0.25</v>
      </c>
      <c r="AG2" s="5" t="n">
        <v>0.25</v>
      </c>
      <c r="AH2" s="4" t="n">
        <v>0.6667</v>
      </c>
      <c r="AI2" s="5" t="n">
        <v>0.25</v>
      </c>
      <c r="AJ2" s="5" t="n">
        <v>0.25</v>
      </c>
      <c r="AK2" s="4" t="n">
        <v>0.5</v>
      </c>
    </row>
    <row r="3">
      <c r="A3" t="n">
        <v>44</v>
      </c>
      <c r="B3" t="inlineStr">
        <is>
          <t>Steel</t>
        </is>
      </c>
      <c r="C3" t="inlineStr">
        <is>
          <t>JSWSTEEL</t>
        </is>
      </c>
      <c r="D3" t="n">
        <v>0</v>
      </c>
      <c r="E3" t="n">
        <v>702</v>
      </c>
      <c r="F3" t="inlineStr">
        <is>
          <t>Mar 2024</t>
        </is>
      </c>
      <c r="G3" t="n">
        <v>5.127252779904689</v>
      </c>
      <c r="H3" t="n">
        <v>16.08916265728032</v>
      </c>
      <c r="I3" t="n">
        <v>11.5528718021347</v>
      </c>
      <c r="J3" t="n">
        <v>1.132807168883338</v>
      </c>
      <c r="K3" t="n">
        <v>3.659099321406539</v>
      </c>
      <c r="L3" t="n">
        <v>0.7679137157851319</v>
      </c>
      <c r="M3" t="n">
        <v>-2389</v>
      </c>
      <c r="N3" t="n">
        <v>8.266573717472543</v>
      </c>
      <c r="O3" t="n">
        <v>36</v>
      </c>
      <c r="P3" t="n">
        <v>77669</v>
      </c>
      <c r="Q3" t="n">
        <v>25</v>
      </c>
      <c r="R3" t="n">
        <v>87984</v>
      </c>
      <c r="S3" t="n">
        <v>1.346038114343029</v>
      </c>
      <c r="T3" t="n">
        <v>18.35267241374161</v>
      </c>
      <c r="U3" t="inlineStr">
        <is>
          <t>NORMAL</t>
        </is>
      </c>
      <c r="V3" t="n">
        <v>-3.309676575882059</v>
      </c>
      <c r="W3" t="inlineStr">
        <is>
          <t>NORMAL</t>
        </is>
      </c>
      <c r="X3" t="n">
        <v>-3.808693640955452</v>
      </c>
      <c r="Y3" t="inlineStr">
        <is>
          <t>NORMAL</t>
        </is>
      </c>
      <c r="Z3" t="n">
        <v>0</v>
      </c>
      <c r="AA3" t="n">
        <v>2024</v>
      </c>
      <c r="AB3" s="4" t="n">
        <v>0.5</v>
      </c>
      <c r="AC3" s="5" t="n">
        <v>0.25</v>
      </c>
      <c r="AD3" s="4" t="n">
        <v>0.3333</v>
      </c>
      <c r="AE3" s="5" t="n">
        <v>0.25</v>
      </c>
      <c r="AF3" s="4" t="n">
        <v>0.5</v>
      </c>
      <c r="AG3" s="3" t="n">
        <v>0.75</v>
      </c>
      <c r="AH3" s="4" t="n">
        <v>0.3333</v>
      </c>
      <c r="AI3" s="4" t="n">
        <v>0.5</v>
      </c>
      <c r="AJ3" s="3" t="n">
        <v>0.75</v>
      </c>
      <c r="AK3" s="3" t="n">
        <v>1</v>
      </c>
    </row>
    <row r="4">
      <c r="A4" t="n">
        <v>45</v>
      </c>
      <c r="B4" t="inlineStr">
        <is>
          <t>Steel</t>
        </is>
      </c>
      <c r="C4" t="inlineStr">
        <is>
          <t>JINDALSTEL</t>
        </is>
      </c>
      <c r="D4" t="n">
        <v>0</v>
      </c>
      <c r="E4" t="n">
        <v>673</v>
      </c>
      <c r="F4" t="inlineStr">
        <is>
          <t>Mar 2024</t>
        </is>
      </c>
      <c r="G4" t="n">
        <v>11.80243873376494</v>
      </c>
      <c r="H4" t="n">
        <v>20.26055526869762</v>
      </c>
      <c r="I4" t="n">
        <v>13.4105063633902</v>
      </c>
      <c r="J4" t="n">
        <v>0.3716941962270963</v>
      </c>
      <c r="K4" t="n">
        <v>8.004636785162287</v>
      </c>
      <c r="L4" t="n">
        <v>0.6400172860847018</v>
      </c>
      <c r="M4" t="n">
        <v>-2336</v>
      </c>
      <c r="N4" t="n">
        <v>16.57067958851333</v>
      </c>
      <c r="O4" t="n">
        <v>58</v>
      </c>
      <c r="P4" t="n">
        <v>44316</v>
      </c>
      <c r="Q4" t="n">
        <v>3</v>
      </c>
      <c r="R4" t="n">
        <v>16472</v>
      </c>
      <c r="S4" t="n">
        <v>1.010937237085647</v>
      </c>
      <c r="T4" t="n">
        <v>5.693058076567659</v>
      </c>
      <c r="U4" t="inlineStr">
        <is>
          <t>NORMAL</t>
        </is>
      </c>
      <c r="W4" t="inlineStr">
        <is>
          <t>TURNAROUND</t>
        </is>
      </c>
      <c r="Y4" t="inlineStr">
        <is>
          <t>TURNAROUND</t>
        </is>
      </c>
      <c r="Z4" t="n">
        <v>0</v>
      </c>
      <c r="AA4" t="n">
        <v>2024</v>
      </c>
      <c r="AB4" s="5" t="n">
        <v>0.25</v>
      </c>
      <c r="AC4" s="3" t="n">
        <v>1</v>
      </c>
      <c r="AE4" s="4" t="n">
        <v>0.5</v>
      </c>
      <c r="AF4" s="3" t="n">
        <v>0.75</v>
      </c>
      <c r="AG4" s="3" t="n">
        <v>1</v>
      </c>
      <c r="AI4" s="3" t="n">
        <v>0.75</v>
      </c>
      <c r="AJ4" s="3" t="n">
        <v>1</v>
      </c>
      <c r="AK4" s="5" t="n">
        <v>0.25</v>
      </c>
    </row>
    <row r="5">
      <c r="A5" t="n">
        <v>46</v>
      </c>
      <c r="B5" t="inlineStr">
        <is>
          <t>Steel</t>
        </is>
      </c>
      <c r="C5" t="inlineStr">
        <is>
          <t>HINDALCO</t>
        </is>
      </c>
      <c r="D5" t="n">
        <v>0</v>
      </c>
      <c r="E5" t="n">
        <v>532</v>
      </c>
      <c r="F5" t="inlineStr">
        <is>
          <t>Mar 2024</t>
        </is>
      </c>
      <c r="G5" t="n">
        <v>4.702216130615571</v>
      </c>
      <c r="H5" t="n">
        <v>88.94620349876368</v>
      </c>
      <c r="I5" t="n">
        <v>9.567011474761175</v>
      </c>
      <c r="J5" t="n">
        <v>0.5309290976579428</v>
      </c>
      <c r="K5" t="n">
        <v>126.4654377880184</v>
      </c>
      <c r="L5" t="n">
        <v>0.9360228499109322</v>
      </c>
      <c r="M5" t="n">
        <v>9789</v>
      </c>
      <c r="N5" t="n">
        <v>6.606254804085904</v>
      </c>
      <c r="O5" t="n">
        <v>45</v>
      </c>
      <c r="P5" t="n">
        <v>106146</v>
      </c>
      <c r="Q5" t="n">
        <v>8</v>
      </c>
      <c r="R5" t="n">
        <v>56356</v>
      </c>
      <c r="S5" t="n">
        <v>2.368882323978336</v>
      </c>
      <c r="T5" t="n">
        <v>13.65125844834398</v>
      </c>
      <c r="U5" t="inlineStr">
        <is>
          <t>NORMAL</t>
        </is>
      </c>
      <c r="V5" t="n">
        <v>27.08651015584955</v>
      </c>
      <c r="W5" t="inlineStr">
        <is>
          <t>NORMAL</t>
        </is>
      </c>
      <c r="X5" t="n">
        <v>26.9251896883383</v>
      </c>
      <c r="Y5" t="inlineStr">
        <is>
          <t>NORMAL</t>
        </is>
      </c>
      <c r="Z5" t="n">
        <v>0</v>
      </c>
      <c r="AA5" t="n">
        <v>2024</v>
      </c>
      <c r="AB5" s="3" t="n">
        <v>1</v>
      </c>
      <c r="AC5" s="3" t="n">
        <v>0.75</v>
      </c>
      <c r="AD5" s="3" t="n">
        <v>1</v>
      </c>
      <c r="AE5" s="3" t="n">
        <v>1</v>
      </c>
      <c r="AF5" s="3" t="n">
        <v>1</v>
      </c>
      <c r="AG5" s="4" t="n">
        <v>0.5</v>
      </c>
      <c r="AH5" s="3" t="n">
        <v>1</v>
      </c>
      <c r="AI5" s="3" t="n">
        <v>1</v>
      </c>
      <c r="AJ5" s="4" t="n">
        <v>0.5</v>
      </c>
      <c r="AK5" s="3" t="n">
        <v>0.75</v>
      </c>
    </row>
    <row r="6">
      <c r="A6" s="6" t="inlineStr">
        <is>
          <t>Median</t>
        </is>
      </c>
      <c r="AB6">
        <f>MEDIAN(AB2:AB5)</f>
        <v/>
      </c>
      <c r="AC6">
        <f>MEDIAN(AC2:AC5)</f>
        <v/>
      </c>
      <c r="AD6">
        <f>MEDIAN(AD2:AD5)</f>
        <v/>
      </c>
      <c r="AE6">
        <f>MEDIAN(AE2:AE5)</f>
        <v/>
      </c>
      <c r="AF6">
        <f>MEDIAN(AF2:AF5)</f>
        <v/>
      </c>
      <c r="AG6">
        <f>MEDIAN(AG2:AG5)</f>
        <v/>
      </c>
      <c r="AH6">
        <f>MEDIAN(AH2:AH5)</f>
        <v/>
      </c>
      <c r="AI6">
        <f>MEDIAN(AI2:AI5)</f>
        <v/>
      </c>
      <c r="AJ6">
        <f>MEDIAN(AJ2:AJ5)</f>
        <v/>
      </c>
      <c r="AK6">
        <f>MEDIAN(AK2:AK5)</f>
        <v/>
      </c>
    </row>
  </sheetData>
  <autoFilter ref="A1:A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2026-07-13T13:43:01Z</dcterms:created>
  <dcterms:modified xsi:type="dcterms:W3CDTF">2026-07-13T13:43:01Z</dcterms:modified>
</cp:coreProperties>
</file>